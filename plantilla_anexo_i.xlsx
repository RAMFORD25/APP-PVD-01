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. YONATHAN JESUS\Desktop\"/>
    </mc:Choice>
  </mc:AlternateContent>
  <xr:revisionPtr revIDLastSave="0" documentId="13_ncr:1_{EB42464A-76E2-4B10-8D48-7749136F83EE}" xr6:coauthVersionLast="47" xr6:coauthVersionMax="47" xr10:uidLastSave="{00000000-0000-0000-0000-000000000000}"/>
  <bookViews>
    <workbookView xWindow="-108" yWindow="-108" windowWidth="23256" windowHeight="12456" xr2:uid="{0B503368-808A-4C6C-9EF3-90C8D6931C15}"/>
  </bookViews>
  <sheets>
    <sheet name="MR PIA 2025 -ANEXO 1A" sheetId="10" r:id="rId1"/>
    <sheet name="MP PIA 2025 -ANEXO 1B" sheetId="13" r:id="rId2"/>
    <sheet name="MR PIA 2025 ANEXO 1A" sheetId="15" r:id="rId3"/>
    <sheet name="MP PIA 2025 ANEXO 1B" sheetId="16" r:id="rId4"/>
    <sheet name="Anexo I MR PIA 2024" sheetId="12" state="hidden" r:id="rId5"/>
  </sheets>
  <externalReferences>
    <externalReference r:id="rId6"/>
    <externalReference r:id="rId7"/>
  </externalReferences>
  <definedNames>
    <definedName name="\c">#REF!</definedName>
    <definedName name="\x">#REF!</definedName>
    <definedName name="\z">#REF!</definedName>
    <definedName name="_xlnm._FilterDatabase" localSheetId="4" hidden="1">'Anexo I MR PIA 2024'!$C$12:$N$12</definedName>
    <definedName name="_PAG1">#REF!</definedName>
    <definedName name="A">#REF!</definedName>
    <definedName name="ADICIONAL">#REF!</definedName>
    <definedName name="_xlnm.Print_Area" localSheetId="4">'Anexo I MR PIA 2024'!$B$1:$N$51</definedName>
    <definedName name="_xlnm.Print_Area" localSheetId="3">'MP PIA 2025 ANEXO 1B'!$B$1:$M$19</definedName>
    <definedName name="_xlnm.Print_Area" localSheetId="1">'MP PIA 2025 -ANEXO 1B'!$B$1:$AC$19</definedName>
    <definedName name="_xlnm.Print_Area" localSheetId="2">'MR PIA 2025 ANEXO 1A'!$B$1:$N$19</definedName>
    <definedName name="_xlnm.Print_Area" localSheetId="0">'MR PIA 2025 -ANEXO 1A'!$B$1:$AC$19</definedName>
    <definedName name="B_D1">#REF!</definedName>
    <definedName name="B_D2">#REF!</definedName>
    <definedName name="_xlnm.Database">#REF!</definedName>
    <definedName name="ER">'[1]BASE DE DATOS GENERAL '!#REF!</definedName>
    <definedName name="GGWP">'[1]BASE DE DATOS GENERAL '!#REF!</definedName>
    <definedName name="INDICES">#REF!</definedName>
    <definedName name="JJA">'[1]BASE DE DATOS GENERAL '!#REF!</definedName>
    <definedName name="JJOSEPH2009">'[1]BASE DE DATOS GENERAL '!#REF!</definedName>
    <definedName name="JOSEPH1">'[1]BASE DE DATOS GENERAL '!#REF!</definedName>
    <definedName name="JOSEPH10">'[1]BASE DE DATOS GENERAL '!#REF!</definedName>
    <definedName name="JOSEPH2010">'[1]BASE DE DATOS GENERAL '!#REF!</definedName>
    <definedName name="JOSEPH2012">'[1]BASE DE DATOS GENERAL '!#REF!</definedName>
    <definedName name="JOSEPH2014">'[1]BASE DE DATOS GENERAL '!#REF!</definedName>
    <definedName name="JOSEPH2015">'[1]BASE DE DATOS GENERAL '!#REF!</definedName>
    <definedName name="JOSEPH2016">'[1]BASE DE DATOS GENERAL '!#REF!</definedName>
    <definedName name="JOSEPH2017">'[1]BASE DE DATOS GENERAL '!#REF!</definedName>
    <definedName name="josephjara1">#REF!</definedName>
    <definedName name="JOSEPHJARA101">#REF!</definedName>
    <definedName name="MARY">'[1]BASE DE DATOS GENERAL '!#REF!</definedName>
    <definedName name="N.SOLES">#REF!,#REF!</definedName>
    <definedName name="natalyparra1">#REF!</definedName>
    <definedName name="PRESUPUESTO">#REF!</definedName>
    <definedName name="Print_Area_MI">#REF!</definedName>
    <definedName name="RET">#REF!</definedName>
    <definedName name="RETENC">#REF!</definedName>
    <definedName name="_xlnm.Print_Titles" localSheetId="4">'Anexo I MR PIA 2024'!$1:$11</definedName>
    <definedName name="_xlnm.Print_Titles" localSheetId="3">'MP PIA 2025 ANEXO 1B'!$1:$7</definedName>
    <definedName name="_xlnm.Print_Titles" localSheetId="1">'MP PIA 2025 -ANEXO 1B'!$1:$7</definedName>
    <definedName name="_xlnm.Print_Titles" localSheetId="2">'MR PIA 2025 ANEXO 1A'!$1:$7</definedName>
    <definedName name="_xlnm.Print_Titles" localSheetId="0">'MR PIA 2025 -ANEXO 1A'!$1:$7</definedName>
    <definedName name="total">'[1]BASE DE DATOS GENERAL '!#REF!</definedName>
    <definedName name="VALORIZACION_MES">'[2]CAOA Valorizado'!$J$90</definedName>
    <definedName name="XD">'[1]BASE DE DATOS GENERAL '!#REF!</definedName>
    <definedName name="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8" i="16" l="1"/>
  <c r="L18" i="16"/>
  <c r="K18" i="16"/>
  <c r="I18" i="16"/>
  <c r="M13" i="16"/>
  <c r="M19" i="16" s="1"/>
  <c r="L13" i="16"/>
  <c r="K13" i="16"/>
  <c r="I13" i="16"/>
  <c r="N18" i="15"/>
  <c r="M18" i="15"/>
  <c r="L18" i="15"/>
  <c r="I18" i="15"/>
  <c r="N13" i="15"/>
  <c r="M13" i="15"/>
  <c r="L13" i="15"/>
  <c r="I13" i="15"/>
  <c r="AC18" i="13"/>
  <c r="AB18" i="13"/>
  <c r="AA18" i="13"/>
  <c r="T18" i="13"/>
  <c r="S18" i="13"/>
  <c r="AC13" i="13"/>
  <c r="AC19" i="13" s="1"/>
  <c r="AB13" i="13"/>
  <c r="AB19" i="13" s="1"/>
  <c r="AA13" i="13"/>
  <c r="T13" i="13"/>
  <c r="S13" i="13"/>
  <c r="S18" i="10"/>
  <c r="S13" i="10"/>
  <c r="AB18" i="10"/>
  <c r="AC18" i="10"/>
  <c r="AA18" i="10"/>
  <c r="T18" i="10"/>
  <c r="AB13" i="10"/>
  <c r="AC13" i="10"/>
  <c r="AA13" i="10"/>
  <c r="T13" i="10"/>
  <c r="T19" i="13" l="1"/>
  <c r="S19" i="10"/>
  <c r="I19" i="16"/>
  <c r="K19" i="16"/>
  <c r="L19" i="16"/>
  <c r="I19" i="15"/>
  <c r="L19" i="15"/>
  <c r="N19" i="15"/>
  <c r="M19" i="15"/>
  <c r="S19" i="13"/>
  <c r="AA19" i="13"/>
  <c r="T19" i="10"/>
  <c r="AC19" i="10"/>
  <c r="AA19" i="10"/>
  <c r="AB19" i="10"/>
  <c r="M51" i="12" l="1"/>
  <c r="L50" i="12"/>
  <c r="N50" i="12" s="1"/>
  <c r="L49" i="12"/>
  <c r="N49" i="12" s="1"/>
  <c r="M48" i="12"/>
  <c r="L47" i="12"/>
  <c r="N47" i="12" s="1"/>
  <c r="L46" i="12"/>
  <c r="N46" i="12" s="1"/>
  <c r="L45" i="12"/>
  <c r="N45" i="12" s="1"/>
  <c r="L44" i="12"/>
  <c r="N44" i="12" s="1"/>
  <c r="L43" i="12"/>
  <c r="N43" i="12" s="1"/>
  <c r="L42" i="12"/>
  <c r="N42" i="12" s="1"/>
  <c r="L41" i="12"/>
  <c r="M40" i="12"/>
  <c r="L39" i="12"/>
  <c r="N39" i="12" s="1"/>
  <c r="L38" i="12"/>
  <c r="N38" i="12" s="1"/>
  <c r="L37" i="12"/>
  <c r="M36" i="12"/>
  <c r="L35" i="12"/>
  <c r="N35" i="12" s="1"/>
  <c r="L34" i="12"/>
  <c r="N34" i="12" s="1"/>
  <c r="L33" i="12"/>
  <c r="N33" i="12" s="1"/>
  <c r="L32" i="12"/>
  <c r="N32" i="12" s="1"/>
  <c r="L31" i="12"/>
  <c r="N31" i="12" s="1"/>
  <c r="L30" i="12"/>
  <c r="N30" i="12" s="1"/>
  <c r="L29" i="12"/>
  <c r="N29" i="12" s="1"/>
  <c r="L28" i="12"/>
  <c r="N28" i="12" s="1"/>
  <c r="M27" i="12"/>
  <c r="L26" i="12"/>
  <c r="N26" i="12" s="1"/>
  <c r="L25" i="12"/>
  <c r="N25" i="12" s="1"/>
  <c r="L24" i="12"/>
  <c r="N24" i="12" s="1"/>
  <c r="L23" i="12"/>
  <c r="N23" i="12" s="1"/>
  <c r="L22" i="12"/>
  <c r="M21" i="12"/>
  <c r="L20" i="12"/>
  <c r="N20" i="12" s="1"/>
  <c r="L19" i="12"/>
  <c r="N19" i="12" s="1"/>
  <c r="L18" i="12"/>
  <c r="N18" i="12" s="1"/>
  <c r="L17" i="12"/>
  <c r="M16" i="12"/>
  <c r="L15" i="12"/>
  <c r="N15" i="12" s="1"/>
  <c r="L14" i="12"/>
  <c r="N14" i="12" s="1"/>
  <c r="L13" i="12"/>
  <c r="N13" i="12" s="1"/>
  <c r="N51" i="12" l="1"/>
  <c r="L51" i="12"/>
  <c r="L48" i="12"/>
  <c r="N41" i="12"/>
  <c r="N48" i="12" s="1"/>
  <c r="L21" i="12"/>
  <c r="L27" i="12"/>
  <c r="N22" i="12"/>
  <c r="N27" i="12" s="1"/>
  <c r="L40" i="12"/>
  <c r="N37" i="12"/>
  <c r="N40" i="12" s="1"/>
  <c r="N16" i="12"/>
  <c r="N36" i="12"/>
  <c r="L16" i="12"/>
  <c r="N17" i="12"/>
  <c r="N21" i="12" s="1"/>
  <c r="L36" i="12"/>
</calcChain>
</file>

<file path=xl/sharedStrings.xml><?xml version="1.0" encoding="utf-8"?>
<sst xmlns="http://schemas.openxmlformats.org/spreadsheetml/2006/main" count="331" uniqueCount="145">
  <si>
    <t>PLIEGO</t>
  </si>
  <si>
    <t>DEPARTAMENTO</t>
  </si>
  <si>
    <t>PROVINCIA</t>
  </si>
  <si>
    <t>DISTRITO</t>
  </si>
  <si>
    <t>TIPO DE SUPERFICIE DE RODADURA</t>
  </si>
  <si>
    <t>AFIRMADO</t>
  </si>
  <si>
    <t>MANTENIMIENTO RUTINARIO</t>
  </si>
  <si>
    <t>TOTAL</t>
  </si>
  <si>
    <t>MESES</t>
  </si>
  <si>
    <t>N°</t>
  </si>
  <si>
    <t>GASTOS OPERATIVOS</t>
  </si>
  <si>
    <t>CODIGO                   DE                     RUTA</t>
  </si>
  <si>
    <t>COSTO                                                     (Km/Mes)</t>
  </si>
  <si>
    <t>OBSERVACIONES</t>
  </si>
  <si>
    <t>ANEXO I</t>
  </si>
  <si>
    <t>PLAZO        (MESES)</t>
  </si>
  <si>
    <t>LONGITUD                        (KM)</t>
  </si>
  <si>
    <t>REGION NATURAL</t>
  </si>
  <si>
    <t>NOMBRE DEL TRAMO (SEGÚN CLASIFICADOR Y MANUAL DE IV)</t>
  </si>
  <si>
    <t>LIMA</t>
  </si>
  <si>
    <t>BARRANCA</t>
  </si>
  <si>
    <t>LM-522</t>
  </si>
  <si>
    <t>NUEVA PANAMERICANA-CENTRO POBLADO POTAO</t>
  </si>
  <si>
    <t>LM-521 
LM-523</t>
  </si>
  <si>
    <t>BARRANCA-ARAYA GRANDE</t>
  </si>
  <si>
    <t>LM-521</t>
  </si>
  <si>
    <t>VINTO ALTO-PAMPA SAN ALEJO</t>
  </si>
  <si>
    <t>CAJATAMBO</t>
  </si>
  <si>
    <t>MANAS</t>
  </si>
  <si>
    <t>CA-507</t>
  </si>
  <si>
    <t>CAHUA - HUAMANQUI</t>
  </si>
  <si>
    <t>CA-508</t>
  </si>
  <si>
    <t>MANAS - CAQUIOC</t>
  </si>
  <si>
    <t>CA-509</t>
  </si>
  <si>
    <t>MANAS - HUANCAR - HUACAR</t>
  </si>
  <si>
    <t>CA-510</t>
  </si>
  <si>
    <t>CAYA - ANTACOCHA</t>
  </si>
  <si>
    <t>CANTA</t>
  </si>
  <si>
    <t>LM-707</t>
  </si>
  <si>
    <t>EMP. PE-20 A - PARIAMARCA - CARHUA - EMP. LM-111 (KM 00+000.00 - KM 18+071.78)</t>
  </si>
  <si>
    <t>LM-705</t>
  </si>
  <si>
    <t>EMP. PE-111 - RUINAS DE CANTAMARCA (KM 00+000.00 - KM 06+276.03)</t>
  </si>
  <si>
    <t>SAN BUENAVENTURA - CANTA</t>
  </si>
  <si>
    <t>LM-698</t>
  </si>
  <si>
    <t>EMP. PE-20 A (PTE. AYASURA) - SAN BUENAVENTURA (KM 00+000.00 - KM 07+332.42)</t>
  </si>
  <si>
    <t>LM-700</t>
  </si>
  <si>
    <t>EMP. LM-698 - EMP. LM-699 (OBRAJILLO) (KM 00+000.00 - KM 06+276.03)</t>
  </si>
  <si>
    <t>LM-708</t>
  </si>
  <si>
    <t>EMP. PE-20 A (VALLECITO) - APIO - SAN LORENZO (KM 00+000.00 - KM 13+432.89)</t>
  </si>
  <si>
    <t>HUARAL</t>
  </si>
  <si>
    <t>PACARAOS</t>
  </si>
  <si>
    <t>LM - 621</t>
  </si>
  <si>
    <t>PE - 20C (PACARAOS) - CC.PP RAVIRA - EMP. PE - 20C</t>
  </si>
  <si>
    <t>LM - 668</t>
  </si>
  <si>
    <t>EMP. LM - 667 - CC.PP HUACHO CHICO</t>
  </si>
  <si>
    <t>LM - 669</t>
  </si>
  <si>
    <t>EMP- LM - 667 - EMP. LM - 671 (JECUAN)</t>
  </si>
  <si>
    <t>LM - 670</t>
  </si>
  <si>
    <t>EMP- LM - 669 - TUPAC AMARU</t>
  </si>
  <si>
    <t>LM - 676</t>
  </si>
  <si>
    <t>EMP. LM - 667 - CABUYAL - VANDURRIA - LA FLORIDA - EMP. LM - 678</t>
  </si>
  <si>
    <t>LAMPIAN</t>
  </si>
  <si>
    <t>LM - 632</t>
  </si>
  <si>
    <t>EMP. PE - 20C (ACOS) - CHANCAPILCA CARAC</t>
  </si>
  <si>
    <t>27 DE NOVIEMBRE</t>
  </si>
  <si>
    <t>LM - 633</t>
  </si>
  <si>
    <t>EMP. LM - 632 (CHANCAPILCA) - COTO</t>
  </si>
  <si>
    <t>IHUARI</t>
  </si>
  <si>
    <t>LM - 643</t>
  </si>
  <si>
    <t>EMP. LM - 106 - IHUARI - EMP. LM - 642 (OTEC)</t>
  </si>
  <si>
    <t>HUAURA</t>
  </si>
  <si>
    <t>Santa Leonor</t>
  </si>
  <si>
    <t>LM-603</t>
  </si>
  <si>
    <t>EMP  LM-107  - PICOY - HUANCAHUASI</t>
  </si>
  <si>
    <t>LM-619</t>
  </si>
  <si>
    <t>LM-568 EMP. LM 108-MAYOBAMBA</t>
  </si>
  <si>
    <t>Ambar</t>
  </si>
  <si>
    <t>LM-560</t>
  </si>
  <si>
    <t>R20 EMPALME LM105 AMBAR-TAMBON</t>
  </si>
  <si>
    <t>OYON</t>
  </si>
  <si>
    <t>ANDAJES</t>
  </si>
  <si>
    <t>LM-584</t>
  </si>
  <si>
    <t>Emp. LM-585 Andajes – San Benito De Caraz</t>
  </si>
  <si>
    <t>LM-586</t>
  </si>
  <si>
    <t>Emp. LM-584 (Andajes) - Pta. Carretera</t>
  </si>
  <si>
    <t>LM-587</t>
  </si>
  <si>
    <t>Emp. PE-18 - Mallay</t>
  </si>
  <si>
    <t>LM-588</t>
  </si>
  <si>
    <t>Emp. PE-18 - San Sebastián de Tinta</t>
  </si>
  <si>
    <t>LM-600</t>
  </si>
  <si>
    <t>Emp. LM-599 – Laguna Rupahuay</t>
  </si>
  <si>
    <t>LM-601</t>
  </si>
  <si>
    <t>Emp. LM-599 - Laguna Surasaca</t>
  </si>
  <si>
    <t>LM-602</t>
  </si>
  <si>
    <t>Emp. LM-599 (Quichas) - Laguna Guengue - Pta. Carretera</t>
  </si>
  <si>
    <t>YAUYOS</t>
  </si>
  <si>
    <t>LM-911</t>
  </si>
  <si>
    <t>Emp. PE-24 Huayñia - Yauyos</t>
  </si>
  <si>
    <t>LM-931</t>
  </si>
  <si>
    <t>Emp. PE-24 Huayñia - Aquicha</t>
  </si>
  <si>
    <t>TOTAL PROVINCIA DE BARRANCA</t>
  </si>
  <si>
    <t>TOTAL PROVINCIA DE CAJATAMBO</t>
  </si>
  <si>
    <t>TOTAL PROVINCIA DE CANTA</t>
  </si>
  <si>
    <t>TOTAL PROVINCIA DE HUARAL</t>
  </si>
  <si>
    <t>TOTAL PROVINCIA DE HUAURA</t>
  </si>
  <si>
    <t>TOTAL PROVINCIA DE OYON</t>
  </si>
  <si>
    <t>TOTAL PROVINCIA DE YAUYOS</t>
  </si>
  <si>
    <t>MANTENIMIENTO RUTINARIO - AÑO 2024</t>
  </si>
  <si>
    <r>
      <rPr>
        <sz val="11"/>
        <color theme="1"/>
        <rFont val="Calibri"/>
        <family val="2"/>
        <scheme val="minor"/>
      </rPr>
      <t>“Decenio de la Igualdad de Oportunidades para Mujeres y Hombres”</t>
    </r>
    <r>
      <rPr>
        <sz val="11"/>
        <color rgb="FFFF0000"/>
        <rFont val="Calibri"/>
        <family val="2"/>
        <scheme val="minor"/>
      </rPr>
      <t xml:space="preserve">
“Año de la unidad, la paz y el desarrollo”
“Año del Bicentenario del Congreso de la República del Perú”</t>
    </r>
  </si>
  <si>
    <t>( Ley N° XXXXX)</t>
  </si>
  <si>
    <t>PRESUPUESTO 2024</t>
  </si>
  <si>
    <t>ESTADO DE CONSERVACIÓN DE LA VÍA</t>
  </si>
  <si>
    <t>DENOMINACION SEGÚN SINAC - PVPP</t>
  </si>
  <si>
    <t>CODIGO DE                      RUTA</t>
  </si>
  <si>
    <t>DENOMINACION DE
INTERVENCION</t>
  </si>
  <si>
    <t>PROGRESIVA INICIAL
 (KM XX+XXX)</t>
  </si>
  <si>
    <t>PROGRESIVA FINAL
 (KM XX+XXX)</t>
  </si>
  <si>
    <t>PLAZO (dc)</t>
  </si>
  <si>
    <t>EJECUCION</t>
  </si>
  <si>
    <t>TIPO DE MANTENIMIENTO VIAL</t>
  </si>
  <si>
    <t>UBIGEO</t>
  </si>
  <si>
    <t>COORDENADAS X_INICIO</t>
  </si>
  <si>
    <t>COORDENADAS Y_INICIO</t>
  </si>
  <si>
    <t>COORDENADAS X_FINAL</t>
  </si>
  <si>
    <t>COORDENADAS Y_FINAL</t>
  </si>
  <si>
    <t>ZONA</t>
  </si>
  <si>
    <t>LONGITUD TOTAL
(KM)</t>
  </si>
  <si>
    <t>LONGITUD PARCIAL
(KM)</t>
  </si>
  <si>
    <t xml:space="preserve">COSTO (Km)                                           </t>
  </si>
  <si>
    <t>“Decenio de la Igualdad de Oportunidades para Mujeres y Hombres”
“Año del XXXXXXXXXXXXXXXXXXXXXXXXXXXXXXXXXXXXXX”</t>
  </si>
  <si>
    <t>SUPERVISION</t>
  </si>
  <si>
    <t>ANCHO DE CALZADA (m)</t>
  </si>
  <si>
    <t xml:space="preserve">COSTO (Km/Mes)                     </t>
  </si>
  <si>
    <t>“Decenio de la Igualdad de Oportunidades para Mujeres y Hombres”
“Año XXXXXXXXXXXXXXXXXXXXXXXXXXXXXXXXXXXXXXXXXXXXXXXXXXXXXXXXXXXXXXXXXX”</t>
  </si>
  <si>
    <t>MANTENIMIENTO PERIODICO EN VIAS VECINALES/DEPARTAMENTALES
LEY N° XXXXXX - PIA 20XX</t>
  </si>
  <si>
    <t>MANTENIMIENTO RUTINARIO EN VIAS VECINALES/DEPARTAMENTALES
LEY N° XXXXXX - PIA 20XX</t>
  </si>
  <si>
    <t>PRESUPUESTO 20XX</t>
  </si>
  <si>
    <t>TOTAL CAMINOS VECINALES/DEPARTAMENTALES NO PAVIMENTADOS</t>
  </si>
  <si>
    <t>TOTAL CAMINOS VECINALES/DEPARTAMENTALES PAVIMENTADOS</t>
  </si>
  <si>
    <t>TOTAL PROVINCIA/REGION DE XXXXX</t>
  </si>
  <si>
    <t>ANEXO I-A</t>
  </si>
  <si>
    <t>ANEXO I-B</t>
  </si>
  <si>
    <t xml:space="preserve"> Cuadro detalle de tramos para suscripción de Convenio - Mantenimiento Rutinario</t>
  </si>
  <si>
    <t xml:space="preserve"> Cuadro detalle de tramos para suscripción de Convenio - Mantenimiento Periódico</t>
  </si>
  <si>
    <t xml:space="preserve">COSTO (Km/Mes)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</si>
</sst>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mmm\-yy;@"/>
    <numFmt numFmtId="165" formatCode="#,##0.000"/>
    <numFmt numFmtId="166" formatCode="_ * #,##0_ ;_ * \-#,##0_ ;_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</font>
    <font>
      <u/>
      <sz val="11"/>
      <color theme="10"/>
      <name val="Calibri"/>
      <family val="2"/>
      <scheme val="minor"/>
    </font>
    <font>
      <sz val="2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28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3">
    <xf numFmtId="0" fontId="0" fillId="0" borderId="0"/>
    <xf numFmtId="164" fontId="1" fillId="0" borderId="0"/>
    <xf numFmtId="0" fontId="19" fillId="0" borderId="0" applyNumberForma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4" fontId="0" fillId="2" borderId="0" xfId="0" applyNumberForma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9" fillId="4" borderId="3" xfId="0" applyNumberFormat="1" applyFont="1" applyFill="1" applyBorder="1" applyAlignment="1">
      <alignment vertical="center"/>
    </xf>
    <xf numFmtId="165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4" fontId="9" fillId="4" borderId="3" xfId="0" applyNumberFormat="1" applyFont="1" applyFill="1" applyBorder="1" applyAlignment="1">
      <alignment horizontal="center" vertical="center"/>
    </xf>
    <xf numFmtId="3" fontId="9" fillId="4" borderId="3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 wrapText="1"/>
    </xf>
    <xf numFmtId="166" fontId="0" fillId="2" borderId="0" xfId="0" applyNumberFormat="1" applyFill="1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3" fontId="8" fillId="4" borderId="3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8" fillId="5" borderId="3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16" fillId="5" borderId="6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65" fontId="16" fillId="5" borderId="3" xfId="0" applyNumberFormat="1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4" fontId="16" fillId="5" borderId="3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165" fontId="17" fillId="0" borderId="3" xfId="0" applyNumberFormat="1" applyFont="1" applyBorder="1" applyAlignment="1">
      <alignment horizontal="center" vertical="center" wrapText="1"/>
    </xf>
    <xf numFmtId="4" fontId="17" fillId="0" borderId="3" xfId="0" applyNumberFormat="1" applyFont="1" applyBorder="1" applyAlignment="1">
      <alignment horizontal="center" vertical="center" wrapText="1"/>
    </xf>
    <xf numFmtId="3" fontId="17" fillId="0" borderId="3" xfId="0" applyNumberFormat="1" applyFont="1" applyBorder="1" applyAlignment="1">
      <alignment horizontal="center" vertical="center" wrapText="1"/>
    </xf>
    <xf numFmtId="3" fontId="16" fillId="4" borderId="6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65" fontId="16" fillId="4" borderId="3" xfId="0" applyNumberFormat="1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4" fontId="16" fillId="4" borderId="3" xfId="0" applyNumberFormat="1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25" fillId="0" borderId="0" xfId="2" applyFont="1" applyAlignment="1">
      <alignment horizontal="left" vertical="center"/>
    </xf>
    <xf numFmtId="3" fontId="16" fillId="5" borderId="3" xfId="0" applyNumberFormat="1" applyFont="1" applyFill="1" applyBorder="1" applyAlignment="1">
      <alignment horizontal="center" vertical="center" wrapText="1"/>
    </xf>
    <xf numFmtId="3" fontId="16" fillId="4" borderId="3" xfId="0" applyNumberFormat="1" applyFont="1" applyFill="1" applyBorder="1" applyAlignment="1">
      <alignment horizontal="center" vertical="center" wrapText="1"/>
    </xf>
    <xf numFmtId="3" fontId="16" fillId="4" borderId="4" xfId="0" applyNumberFormat="1" applyFont="1" applyFill="1" applyBorder="1" applyAlignment="1">
      <alignment horizontal="center" vertical="center" wrapText="1"/>
    </xf>
    <xf numFmtId="3" fontId="16" fillId="4" borderId="5" xfId="0" applyNumberFormat="1" applyFont="1" applyFill="1" applyBorder="1" applyAlignment="1">
      <alignment horizontal="center" vertical="center" wrapText="1"/>
    </xf>
    <xf numFmtId="3" fontId="16" fillId="4" borderId="6" xfId="0" applyNumberFormat="1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3" fontId="16" fillId="5" borderId="4" xfId="0" applyNumberFormat="1" applyFont="1" applyFill="1" applyBorder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3" fontId="16" fillId="5" borderId="6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3" fontId="9" fillId="4" borderId="4" xfId="0" applyNumberFormat="1" applyFont="1" applyFill="1" applyBorder="1" applyAlignment="1">
      <alignment horizontal="center" vertical="center"/>
    </xf>
    <xf numFmtId="3" fontId="9" fillId="4" borderId="5" xfId="0" applyNumberFormat="1" applyFont="1" applyFill="1" applyBorder="1" applyAlignment="1">
      <alignment horizontal="center" vertical="center"/>
    </xf>
    <xf numFmtId="3" fontId="9" fillId="4" borderId="6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0" fillId="2" borderId="0" xfId="0" applyFont="1" applyFill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25D2207A-F3D9-4646-AE15-691148F7FE98}"/>
  </cellStyles>
  <dxfs count="14"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7</xdr:row>
      <xdr:rowOff>0</xdr:rowOff>
    </xdr:from>
    <xdr:ext cx="47625" cy="9525"/>
    <xdr:pic>
      <xdr:nvPicPr>
        <xdr:cNvPr id="2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BFF975E-AD2B-4D56-9605-DDBE52010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3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A830A74-4573-47E0-8E24-F5CC48296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4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6238607-9A2C-4941-96C4-6A4ADC631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5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3AC444D-0DCD-42B5-BC47-CDA2E7A90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6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81317CA-9E2A-4878-B1FF-54EF68048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7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E5BBB73-978C-4DE7-9FEE-B7FA215C4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8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248F8D7-D420-44A8-BC34-FFB4974B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9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EF03990-9894-4040-83C3-AFD43647E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0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42D484A-E46A-4154-BC0F-E57F34516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1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50F1632-8D50-4B87-BD09-DAA4592C3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2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64A05A9-B366-4146-A580-7A80E85E7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C854FDB-BAE7-4EAA-8D3A-2482237C8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A20B0E6-85AC-4FAF-9790-09E4C040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9611673-74EB-435D-B627-CF4F85A5C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6F1D8F4-A034-492C-A77B-3A4CDB178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5E46A0D-1226-42EF-A2D1-5935A7FD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AB2FAC1-F587-4469-83D5-289E6A294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1389529</xdr:colOff>
      <xdr:row>7</xdr:row>
      <xdr:rowOff>0</xdr:rowOff>
    </xdr:from>
    <xdr:ext cx="47625" cy="9525"/>
    <xdr:pic>
      <xdr:nvPicPr>
        <xdr:cNvPr id="1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44C73CD-4408-4981-AC9E-46732F978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34604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1255059</xdr:colOff>
      <xdr:row>7</xdr:row>
      <xdr:rowOff>0</xdr:rowOff>
    </xdr:from>
    <xdr:ext cx="47625" cy="9525"/>
    <xdr:pic>
      <xdr:nvPicPr>
        <xdr:cNvPr id="2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7B0E96E-8162-42FD-B966-FEDD18F24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00134" y="30480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44823</xdr:colOff>
      <xdr:row>0</xdr:row>
      <xdr:rowOff>11206</xdr:rowOff>
    </xdr:from>
    <xdr:to>
      <xdr:col>6</xdr:col>
      <xdr:colOff>158956</xdr:colOff>
      <xdr:row>0</xdr:row>
      <xdr:rowOff>727426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4F661BB-7425-4F34-8CA2-346DAE960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" y="11206"/>
          <a:ext cx="7159831" cy="71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2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8DFAF22-9132-414A-81A7-FE662CECF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69329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2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9EAAB40-6F77-4C12-A249-711DA948A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34859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4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B7CD4B2-F72F-4F2A-8C8A-F4D94564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5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3412CB4-4DFC-4580-9710-5A8570B4A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6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6141553-642C-4785-B464-401DFFAED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7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0403E6A-A092-4FC7-9B8C-3A33E82AA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8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092A2E6-9F9F-4D2B-9C20-FB8649E86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9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8468941-8698-4AB7-AC98-FBB661865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0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8236FB4-174D-46D9-811D-99672CCD7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1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74CD2C9-C219-4EC0-94CD-7833608B5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2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E892C22-A13B-4707-B22A-72DF0B32B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3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BC931AF-3672-438A-B8CF-FD9AA8D8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4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5533EA6-C9A9-4D56-ADE1-F3E31CEAD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8B976E4-5CE6-4177-AA13-6591BEDD6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8E42971-CDDA-49BD-B4AC-DDC17BCB4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EA713C7-6D15-48CB-B2D6-CEBDC065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74C5075-F786-4DA8-9754-0E4E108D0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E6A601F-503E-424D-89E8-A6D13321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69E17D7-410D-4D57-A305-D8A288F29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4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C36FBB4-960A-4514-BF2D-6AC1AC125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69329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4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47AAE97-177F-47C6-9F10-B7DB0F02D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34859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4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D08427E-BB9C-4903-A012-D79109466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69329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4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1CA611F-8365-4313-8A5E-A413CF863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34859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5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580BBD0-4727-4494-9879-DC0B5729C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6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9FCF3C8-EF80-438A-9781-B575AD9C4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7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F6C4846-71B8-479A-B125-C6FE2854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8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9653720-9400-430B-86A1-5DCC8AD9F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9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63D455F-F4CA-4D07-8F07-D212D881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0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D9872B6-2002-428E-B8E4-703A34066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1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EADFF6A-3871-4A43-B53F-F196E003E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2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80BDD28-DD31-4443-A7A6-1D511013B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3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4EF6017-E03F-46FC-9C5D-1F4957AC3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4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83D9C99-20D5-4316-B91C-CC34AA5B0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5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5F097F9-DA4D-4F03-B6B9-F969264EE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B62B4F7-E604-4552-84BC-CE682CA6C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A6FB853-7C1B-46C7-91BC-0B09F6CE2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D89010A-09CC-4767-9905-AED403DE3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8742BA7-F080-4AB3-AA9F-059EA780A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6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607E174-FA87-4868-9F38-46B201973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6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58FC4EE-E699-42EC-A4AA-2DB1D887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0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6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2C96655-0526-43A8-BB6E-02E18E27F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69329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6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A8F855A-8F2B-4BF5-8862-B35B94E94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34859" y="70485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0</xdr:row>
      <xdr:rowOff>1</xdr:rowOff>
    </xdr:from>
    <xdr:to>
      <xdr:col>9</xdr:col>
      <xdr:colOff>2020543</xdr:colOff>
      <xdr:row>0</xdr:row>
      <xdr:rowOff>1281545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BC632DDF-EE81-400A-B19E-305C738D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1"/>
          <a:ext cx="12902855" cy="1281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7</xdr:row>
      <xdr:rowOff>0</xdr:rowOff>
    </xdr:from>
    <xdr:ext cx="47625" cy="9525"/>
    <xdr:pic>
      <xdr:nvPicPr>
        <xdr:cNvPr id="2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16F87AB-76E0-45A1-AF01-49742475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3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6DC71F4-9D39-4754-B28B-8F5F95B9A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4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F8185E6-1C9C-4DA1-BF44-8EB96173A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5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F2EFEB3-E89C-4C1D-8D56-3D70FA342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6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B05D55A-9C5E-4EE9-B204-201D105B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7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5101A12-6474-40BD-8046-A5806B1E9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8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9C28C7E-864A-4FBB-918D-181D38AE2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9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A3B94FC-267D-4AF1-86BA-986A55DAB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0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D88E8E6-51B4-4019-BDFA-69FE30D7A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1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C0BC04C-DDE9-48A8-A120-BF64329C1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2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A442A87-BB97-498C-968A-B38E0ED62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1D74637-179C-497E-824E-8B7999278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43431B5-8F4C-489C-AC88-4B1DB6E7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EE809D2-1B9B-4353-9127-35ACD8AC7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50519B6-033C-42A3-A9F1-F41FD32BD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0492E21-CA72-4281-892D-726D7D1EC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47625" cy="9525"/>
    <xdr:pic>
      <xdr:nvPicPr>
        <xdr:cNvPr id="1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2802145-AC0A-4E2A-8C57-2356D6221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47125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1389529</xdr:colOff>
      <xdr:row>7</xdr:row>
      <xdr:rowOff>0</xdr:rowOff>
    </xdr:from>
    <xdr:ext cx="47625" cy="9525"/>
    <xdr:pic>
      <xdr:nvPicPr>
        <xdr:cNvPr id="1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E380DB5-5780-4A0C-8F87-8C404D76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36654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1255059</xdr:colOff>
      <xdr:row>7</xdr:row>
      <xdr:rowOff>0</xdr:rowOff>
    </xdr:from>
    <xdr:ext cx="47625" cy="9525"/>
    <xdr:pic>
      <xdr:nvPicPr>
        <xdr:cNvPr id="2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8CF7C94-8460-402E-9115-7D1913133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02184" y="475297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44823</xdr:colOff>
      <xdr:row>0</xdr:row>
      <xdr:rowOff>11206</xdr:rowOff>
    </xdr:from>
    <xdr:to>
      <xdr:col>6</xdr:col>
      <xdr:colOff>158956</xdr:colOff>
      <xdr:row>0</xdr:row>
      <xdr:rowOff>727426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19B601B-ECA0-4E16-9B97-CDF262A58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123" y="11206"/>
          <a:ext cx="7172158" cy="71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2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55A5067-68A3-4521-9E69-81436CBE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00954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2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EEFAE58-16C9-4358-B448-2D0ECABA8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9834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4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449BE90-DFE2-46B9-BFCD-3AFDB794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5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03E178C-7902-4927-8E19-A00A4F703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6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2E753D9-7FC1-4152-902C-B8BC6D08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7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D1D9099-370C-4F39-B946-63B58032B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8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639C828-6491-494D-9E10-9CFCBB890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29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C86CDD1-71E5-4AED-9262-8406A3C6F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0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540FCC3-301A-48DC-8FF4-F9F39C08D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1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0729783-8DD2-4D6D-AAEF-B3EA08190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2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B276B98-4ABC-418F-837B-884E92541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3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20C5250-A638-484E-BB87-FB9B6C266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4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0474171-541B-42E1-BB64-6D156B5CF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DAF4F80-6636-4D2D-AD73-6CFA516A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9AA5E09-2349-4862-8920-F4207ED73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F88C3E2-7B19-491B-8EE3-643A77920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74F5388-A228-498D-876C-4E9FEED4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3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536F6A8-2902-41FD-A6B9-7AEE105CA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10303C1-70C3-4DEF-A991-518B2F33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4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5FB7EC4-7624-4797-B596-2A37B39E2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00954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4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C47B0F3-A636-44EE-BE19-36F1E09FC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9834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4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C29608C-3945-45EF-9842-0D5F53A7C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00954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4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7A5509C-52C8-4681-8AC2-764E4806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9834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5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1E7217B-61D6-43A9-9409-23D37AD7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6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590A9B9-C715-4357-ADC9-944639250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7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87ED61C-8B82-41C3-8F36-7F799BE61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8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0096BC2-623B-4FB0-99F5-0683B2C08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49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8955D0D-7713-4993-8FD0-234558B5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0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3A7047B-848D-469D-AE45-D9A169007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1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EA1829A-3835-44D1-8408-A0F3DF961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2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3117A01-8E62-481C-B8E9-1BCC16060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3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AA5A5E8-9616-43B3-A2A5-26CA4F1F9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4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790A0AB-34C0-4C96-8280-A4D01C977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5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7CEAC16-6C8A-4E78-B9DB-22961D971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86E39DA-8F7C-4FF8-973D-24C108463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9661815-9FFD-4F1B-93ED-56AF88F37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99E755F-8B14-4C63-86B1-AB4B68270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5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A624E49-A41D-4373-AED7-C7F0ABEC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6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FE8B75D-3185-437C-8AE6-4895EF6D1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6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F0708BB-474B-46B3-8FC4-F99C1057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6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DF6ACD6-4474-438A-83F5-00D2134F8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00954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6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3D267D8-CAEC-40EB-95DE-A5E5FD8B8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9834" y="14573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0</xdr:row>
      <xdr:rowOff>1</xdr:rowOff>
    </xdr:from>
    <xdr:to>
      <xdr:col>9</xdr:col>
      <xdr:colOff>2020543</xdr:colOff>
      <xdr:row>0</xdr:row>
      <xdr:rowOff>1281545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D4C90A68-F7CB-429B-9914-1FCF99A88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"/>
          <a:ext cx="12907618" cy="1281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6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FB3660B-3848-455B-8CCC-6273B8F60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6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DF3A5B6-CDD6-4213-A91F-0F45C91A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67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91124F7-8181-42C1-A4F2-B2F36F856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68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8DF2657-5912-46EB-93A6-862173CBB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69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9C9DC15-1576-4239-8EBE-7E0CF24B8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70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3363522-AF60-476A-9548-DC644B742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71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52543FE-11F1-4215-8FCB-357C4C0DC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72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293BEEC-368C-4C3C-A772-C2AC58352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73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849B048-E6EB-4480-B6DA-3B51787F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74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522B31C-D6CE-4A3C-9A01-89C08DD8B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75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6B59555-EA26-4D00-823C-D3102525D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76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326A082-794E-4FBB-BFC3-FB32C4342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77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621F0EC-CE89-4016-A038-3DCC69428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7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5A47927-B14C-4DD0-AA49-67A41E498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7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25311BE-23FB-499B-A3EE-82AAC2BB6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8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2CC131C-F8D7-44CC-9505-D24025C1C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8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92EDB51-FE90-4964-B7F0-30708A2E2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8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20646AA-47ED-4CF4-B735-8DFBC325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8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230624F-ADDB-4FEC-97E1-D80CDDC94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8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5E23147-A5F6-455C-B69E-54C49F34E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8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E6F1D6E-736F-4610-B0AC-803DE2DFC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8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CC8C89C-DC2C-4300-A3E6-ACB35AF12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8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3C34615-DADB-4D63-BA69-D2989E31B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88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C6C17E3-90C7-471F-BCA5-E2604B609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89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229A4B3-6981-4640-BB7F-96D5034F5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90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0129836-5EAB-46EB-9BD7-E54E9C299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91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2D21931-B925-4ACA-A081-07D772E24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92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A1BF5AD-C216-4708-9F4F-045A5CE8E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93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4E78C5B-DC31-4A58-9991-97331BAF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94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009AE48-40DC-4605-91E4-FF298A7E1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95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C9C4DFC-DE0B-4691-832F-0D44B40DD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96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7C4DF9C-090E-47EC-B541-6FA328307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97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594CE58-6A49-488A-9467-F6A4514D0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98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C0D6A30-EDEB-47C4-AAF4-1CCA9C21D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9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2BB0E0F-2341-4265-A10F-5152126E9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10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BAC4480-688A-4017-A3F3-4EB627EF9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10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EF84210-4526-4796-B9FF-3F738239F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10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BD72343-92B3-489C-9DDB-774005CBA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10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6F53907-43F8-4E96-A152-3F263BD12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47625" cy="9525"/>
    <xdr:pic>
      <xdr:nvPicPr>
        <xdr:cNvPr id="10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D457863-1253-4F62-B3CE-8A297788D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1389529</xdr:colOff>
      <xdr:row>1</xdr:row>
      <xdr:rowOff>0</xdr:rowOff>
    </xdr:from>
    <xdr:ext cx="47625" cy="9525"/>
    <xdr:pic>
      <xdr:nvPicPr>
        <xdr:cNvPr id="10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B37A96F-F06E-4163-9E79-FBA7E02C3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1255059</xdr:colOff>
      <xdr:row>1</xdr:row>
      <xdr:rowOff>0</xdr:rowOff>
    </xdr:from>
    <xdr:ext cx="47625" cy="9525"/>
    <xdr:pic>
      <xdr:nvPicPr>
        <xdr:cNvPr id="10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646F715-821B-4807-9053-1C3CE16B0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47625" cy="9525"/>
    <xdr:pic>
      <xdr:nvPicPr>
        <xdr:cNvPr id="2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A2FB46D-A936-45A8-B03D-2DA9A9D22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3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F23B372-FCF1-43E6-9B1C-019BAC197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4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1E667DB-2023-4A09-91EA-EBAF9891E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5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F6CA2EB-E0E6-43D5-B577-E72A56C5B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6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F35FA66-AD72-4808-B818-33610D62A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7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69F396E-883D-4FC6-86A8-90EAFF036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8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AEFA5B7-E3B0-4202-B967-BDED966E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9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F922E73-BAC5-4528-B71C-FE0AE7899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0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E8945A4-FF5A-4973-BDBA-773942EAF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1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669BC99-B17B-42D5-910C-B5D1491F1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2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0A5C4F0-8E53-4422-9898-FC8825A66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529B6DB-EFB6-4928-A4F0-2ABA134BA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D43C091-2A6E-4D82-98FC-62BAABAF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97BB198-F834-4ABF-B0BB-6A0550312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8020EA8-BBC5-403D-A4DB-D0D19CC86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4255ACE-4864-4A21-A565-9EDCC8AB5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D51FD7E-545F-4B85-8BCC-B9ADA9352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112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CAD6646-E9A5-442A-8C4C-47722CD3A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20649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2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955B857-33EF-4C18-BD0C-BDF84EA7C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86179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44823</xdr:colOff>
      <xdr:row>0</xdr:row>
      <xdr:rowOff>11206</xdr:rowOff>
    </xdr:from>
    <xdr:to>
      <xdr:col>5</xdr:col>
      <xdr:colOff>1378156</xdr:colOff>
      <xdr:row>0</xdr:row>
      <xdr:rowOff>727426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DA8DD4C-81DE-433A-80B8-85721BA58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123" y="11206"/>
          <a:ext cx="7375993" cy="71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0</xdr:colOff>
      <xdr:row>1</xdr:row>
      <xdr:rowOff>0</xdr:rowOff>
    </xdr:from>
    <xdr:ext cx="47625" cy="9525"/>
    <xdr:pic>
      <xdr:nvPicPr>
        <xdr:cNvPr id="2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E36707E-7FF5-4FF2-AD66-132628632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0051F1C-7B13-4389-BDA7-15697FC82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4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B6250E3-AE4F-4FF5-ACFA-519417055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5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8E94E07-7ECD-402F-85CF-FF205E7D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6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C32B602-57C6-4F0A-866E-AB470163D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7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18883C9-98CA-4F30-AB5F-9DE68C09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8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A0BA79C-86D2-484B-B630-FDEDA8ABA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9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B8B66A3-9A9D-464C-8F31-D6D523EEF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0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2908C6A-E780-4D4E-B309-7C330828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1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CCAE899-DF17-47A5-90F3-682E793CA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2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5F6E0AD-397F-4D47-A222-82BF3F52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3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0E1A792-95CC-47BD-B35C-9DA0C7355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4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7EC4F0F-B75A-4B01-95E2-1BDB14384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A0EE330-7FFA-43BB-9686-73AED2D0E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A4EBCED-35B3-4A7D-8516-E2A357FC2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43F3D27-9111-4E85-BAC4-54474BE66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1D84A12-CFE5-4F3A-826B-32B522E52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72B4B27-BE26-43F8-9276-542F11529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7EBD4D8-820A-41A3-8C63-91E1F83A6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7325099-70E5-4791-847A-8C5EE3088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A7EB47E-B9AC-4FDF-96CE-30BD64218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9EEEEB7-7749-4F44-BBC8-E40965C8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7E5DBF3-9B6E-46E5-A9E7-8F37ADD7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5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D80DC1C-ED68-4BFF-88DF-41F27D122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6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40CA4A8-F85B-4ABF-814E-CA093444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7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3B3B0F0-6A09-44C9-9A9A-DAF0B9CF2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8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7E4575A-4B5D-4BDD-A6CB-63AC2366F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9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D9D3F72-9A52-4978-B897-4950F3324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0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433EF44-A548-4282-9A0F-4FCDC4624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1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D05AC87-151B-4471-A2B3-E5FCA6498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2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218690B-DE7B-46BA-8FC0-7EF0932DE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3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2D1810B-E8CA-4208-8723-39EF90C8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4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D3F295E-B881-4659-8A54-4FF804468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5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3F50129-8DCE-46DE-996A-C494AF9F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E0D4AE0-D11C-4EB2-8D68-6DA85291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CA58433-9506-442F-BBF3-F4C2F217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10DD8A4-0104-4C18-B098-305B77C78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6D1141B-5EBB-466D-8F74-802EAA649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15E4BF5-D631-496E-8446-64314BEE6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35D9987-46D5-4A4C-862C-3C7AC7F3A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14ADAF5-D611-4A61-BF96-5B844DCF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859E8EB-F18A-4909-890D-A83AC4E6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0</xdr:row>
      <xdr:rowOff>1</xdr:rowOff>
    </xdr:from>
    <xdr:to>
      <xdr:col>9</xdr:col>
      <xdr:colOff>591793</xdr:colOff>
      <xdr:row>0</xdr:row>
      <xdr:rowOff>1281545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668E1DE-0C45-4D6A-A944-2A396F14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"/>
          <a:ext cx="13221943" cy="1281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47625" cy="9525"/>
    <xdr:pic>
      <xdr:nvPicPr>
        <xdr:cNvPr id="2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0926E3C-1483-4BA9-AB24-7710AAD2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3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F0D71FC-6C3E-4465-9983-808C945F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4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B0AA68E-8144-4DEE-AF5E-C6F079BC3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5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DC6822F-F23C-4DC4-9599-03384AA8B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6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73A777E-BA4A-4135-8783-B1580C722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7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0284ABE-1CE7-423A-8187-B1D8106C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8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081A650-49F1-4824-ADFB-6A32B272A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9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53AD670-F0B2-474F-88F6-3ADC6284E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0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4A8D80F-9632-41EC-9704-401A45420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1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7F85FAB-12FB-4ACD-9D0B-7426A451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2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10880C6-9DC6-4FFA-A620-102C20FDE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0AD5EC1-714B-415D-862A-28B8E6BBB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2194FEC-37A4-4B61-99DA-02C8D5DDD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0E9D76B-E4D6-4D74-9871-01B109D16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4FD606D-090E-4DD6-B51F-D0CDFF5B4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07164DE-D07D-48B0-A0EA-D5EFF95C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8AF8327-CDFD-4D52-93A2-E1ED364A1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60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1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9F03BD6-13B8-48BF-920D-0C4931A90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02489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</xdr:row>
      <xdr:rowOff>0</xdr:rowOff>
    </xdr:from>
    <xdr:ext cx="47625" cy="9525"/>
    <xdr:pic>
      <xdr:nvPicPr>
        <xdr:cNvPr id="2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DD6BAB5-90F0-4AE4-8488-F4DEE4EDB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68019" y="47244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44823</xdr:colOff>
      <xdr:row>0</xdr:row>
      <xdr:rowOff>11206</xdr:rowOff>
    </xdr:from>
    <xdr:to>
      <xdr:col>5</xdr:col>
      <xdr:colOff>1378156</xdr:colOff>
      <xdr:row>0</xdr:row>
      <xdr:rowOff>727426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23718AF-1100-4FCA-A3DB-9EB1442AB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123" y="11206"/>
          <a:ext cx="7375993" cy="71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0</xdr:colOff>
      <xdr:row>1</xdr:row>
      <xdr:rowOff>0</xdr:rowOff>
    </xdr:from>
    <xdr:ext cx="47625" cy="9525"/>
    <xdr:pic>
      <xdr:nvPicPr>
        <xdr:cNvPr id="2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60E81AE-A060-4E87-8262-29055BB99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0C603CB-9E56-43B9-9CE6-82C54AA1F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4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2276D2F-E761-4AE3-BD6D-B513CB3C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5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612C6D1-40F4-49B5-A4A0-B27FCA9F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6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7076B02-2661-490E-926C-27B684365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7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BCDBF65-C705-4856-B0D4-A80A59510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8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3E6DE01-60C2-4BBB-A3DF-2ACE6934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29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5C5CC0E-E854-425A-BDA9-1AB3D7549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0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5AB98B8-C269-457D-A160-5B9572C44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1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9A84FFD-385B-4C31-9981-43B2BFCDF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2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EFE5713-879E-46A0-8605-D7EB53FF9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3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5C9C496-0503-48AE-8BF6-91995CF9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4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E80FC6B-7499-4290-AA73-B33CC5833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71698C1-0926-4A82-93C2-024F827B1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04720CE-C8DF-44E4-8443-4A076E51C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10FD91D-25AD-40D0-95E7-A9260309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8B61CD7-AE0A-4546-B45B-AD7141D92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3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6493D60-8665-48E8-ACFC-CA8B80AA5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9474D26-CC4F-4888-B3C8-460ACBB0D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AA3D3F1-ADF7-43BB-B24C-574CE4BD1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E25BA82-61EB-4F50-BDCC-9E00FD8E7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EC45E09-4449-4E02-A4DA-5E0530426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6C02ED0-037E-417B-9C7D-B7ADA0D94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5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B8025FB-4376-45B6-8F28-24D80C3A3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6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51E7EB3-8249-4F4A-9438-ACE68A39E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7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4CEA2B3-44C7-411A-AB25-C19C12805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8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3036FAE-B763-4588-9A66-53837615C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49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26D44B9-3C3A-4180-91E3-56950E712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0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E5E146C-25FE-4AE8-A81F-C655EA26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1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0B68180-837B-4B34-9345-F9B91A132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2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03B9587-2ECA-4C4E-AAE7-352CC4E0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3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CF3F29C-434F-4E57-BB52-D2B376ED1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4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4D4BC9B-79CB-4EB8-9AE6-E1DB3E0AC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5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0B0A4D4-70AB-4833-B695-B399E43A9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9EDAE8A-5831-4BB9-9456-A03ED355F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980BE4F-4D5B-40AC-A20A-54499F087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63BD419-AB4C-4779-A6AB-255ECDF3D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5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655CB1E-58DE-4120-B541-D23EC55BF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23E7E82-162E-41A7-83C2-3B51BB1DD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DD9FCF5-D412-4267-ADDE-71E535BC7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724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8302A7C-27AC-4DE4-9B0A-61CE97F1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10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C2CEE8D-3708-40D6-BBE6-9616B3236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4179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0</xdr:row>
      <xdr:rowOff>1</xdr:rowOff>
    </xdr:from>
    <xdr:to>
      <xdr:col>9</xdr:col>
      <xdr:colOff>591793</xdr:colOff>
      <xdr:row>0</xdr:row>
      <xdr:rowOff>1281545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D40D63F1-3D5C-4038-A4E7-1588F2E2A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"/>
          <a:ext cx="13221943" cy="1281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0</xdr:colOff>
      <xdr:row>1</xdr:row>
      <xdr:rowOff>0</xdr:rowOff>
    </xdr:from>
    <xdr:ext cx="47625" cy="9525"/>
    <xdr:pic>
      <xdr:nvPicPr>
        <xdr:cNvPr id="6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2E6BB81-2C26-437D-BF21-D7D28513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58E907E-8A0A-4A89-8BDF-4D6BFEB37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7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92EB75B-73B8-432A-8BF7-DB0F3063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8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2BD9C47-72E3-4A7C-BB74-DCF9CA564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69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DDF3C0E-BA9F-48C4-BB1F-C3C52BDE2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70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53296B6-90A7-403A-BFF5-B979ECFCC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71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7CD9571-1BCD-479F-8E70-A364280A2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72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F6DF451-14E1-4594-BF84-9D1F750E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73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009F458-862A-40E3-8AE1-1166CD6BB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74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948DA17-85F5-4048-A905-76A8208B6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75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B1230B2-179D-491D-886F-58A2CBE16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76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BCAB2ED-1390-4D3B-9FE4-0362EB3CB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77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23D2C1D-8DF3-4AF3-9476-FBC920F7B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7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89EB487-F155-4BA1-9AFD-DE514C8B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7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A9CD496E-6C88-4C40-B7B6-9625B540B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8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15FADA4-5988-46F6-923E-E695E7581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8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171B021-770A-490C-A45B-7A8F20402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8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5A3B866-5EF3-4C5D-AD9A-001331D2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8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AA029EE-C288-4591-A904-80AE38102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8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3CF5CB5-870B-4637-A92B-C09B9FB36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8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67633A0-5F26-426E-86A5-C8CAD1541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8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9144BAE-5D84-4215-99B7-13D39356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8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7BF2EC2-98C3-4872-8B46-C621FFD2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88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E99FC7C-B0A5-4AF2-AC8F-C5A11FA6E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89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1CB7969-2406-4934-97A2-4E2CAE0E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90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86F8552-EAEC-4621-BE10-D3331B7A9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91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72869A6-3E0B-44FA-8150-778CAD96C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92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773A9E4-E3E7-4EE5-9064-842D1999E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93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27BD603-F191-4A63-8A80-B2D27C097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94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63645A1-94D8-492B-815A-8BBF965C7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95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928D30B-1331-4F88-9499-2F614CC3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96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E981B69-0751-43FD-A1E7-9EB4D859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97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48F314A-2473-44BF-98C2-4EF2DCD10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98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345BDA7-7279-4DAD-9A49-F99F7B75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9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E0F910B-55B2-47E1-A694-C9A89D9C9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10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3A0D2DF-A8F6-48B6-8FB0-B3E666A6F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10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2A63BAD-3F7A-4B89-A068-5714DA99C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102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0AC3531-2C4A-44EA-AC42-FA7D24D61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10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7CBF526-AF18-474B-B4E6-1938336B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10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1CD6B29-9ED4-4B10-874D-66B233E21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10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BDDF559-AB20-44A1-9252-49721129B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47625" cy="9525"/>
    <xdr:pic>
      <xdr:nvPicPr>
        <xdr:cNvPr id="10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0B4E9FA-0774-4DCF-9C3D-2F5BC94EA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45542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47625" cy="9525"/>
    <xdr:pic>
      <xdr:nvPicPr>
        <xdr:cNvPr id="2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DD77ED3-4665-46B3-9F95-89446480C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3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245D404-9335-4865-BDC1-7BA7EE486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4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E7D2C8A-F99E-4F97-A42D-C493C727D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5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2080C27-3511-428C-8A46-479CFB08C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6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51E4523-6B38-4BC5-978A-AA8F545BE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7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5FBC473-A56F-4F7F-978A-B4995484F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8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FB8552E-C571-4320-BFAF-743121A19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9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A38ABAD-3DAE-449C-AD76-4F7D57A6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10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1ED7293-9344-4287-B172-A6B3BF764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11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3A9EC82-3577-416E-B927-5B62F8A3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12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4AB5D01-72C3-4936-B911-2F5D5C9E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13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19C5995C-7EDB-479E-BE1D-B82DCE056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1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2C28CBC0-2E8F-4591-8567-33CB5E729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1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827A997-51DA-4D46-B8C4-A74F49B94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1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0B0CA87-D2D7-4372-B28E-FF9EF9E2A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1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131E31A-A88A-43B5-A33D-179C19CD1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1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48574C4-58B6-423C-B364-0D707D5B4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1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5E82EB06-CF70-40D1-BB31-01BFB204C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9604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47625" cy="9525"/>
    <xdr:pic>
      <xdr:nvPicPr>
        <xdr:cNvPr id="2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61C6A50-6D7F-424A-868A-D63C02298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5134" y="3476625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1298867</xdr:colOff>
      <xdr:row>0</xdr:row>
      <xdr:rowOff>0</xdr:rowOff>
    </xdr:from>
    <xdr:to>
      <xdr:col>11</xdr:col>
      <xdr:colOff>631706</xdr:colOff>
      <xdr:row>3</xdr:row>
      <xdr:rowOff>19174</xdr:rowOff>
    </xdr:to>
    <xdr:pic>
      <xdr:nvPicPr>
        <xdr:cNvPr id="22" name="image3.png">
          <a:extLst>
            <a:ext uri="{FF2B5EF4-FFF2-40B4-BE49-F238E27FC236}">
              <a16:creationId xmlns:a16="http://schemas.microsoft.com/office/drawing/2014/main" id="{08C9884E-4FE4-45B6-BAE1-496430F6951D}"/>
            </a:ext>
          </a:extLst>
        </xdr:cNvPr>
        <xdr:cNvPicPr/>
      </xdr:nvPicPr>
      <xdr:blipFill>
        <a:blip xmlns:r="http://schemas.openxmlformats.org/officeDocument/2006/relationships" r:embed="rId2"/>
        <a:srcRect t="239" b="239"/>
        <a:stretch>
          <a:fillRect/>
        </a:stretch>
      </xdr:blipFill>
      <xdr:spPr>
        <a:xfrm>
          <a:off x="5126185" y="0"/>
          <a:ext cx="11351656" cy="1110219"/>
        </a:xfrm>
        <a:prstGeom prst="rect">
          <a:avLst/>
        </a:prstGeom>
        <a:ln/>
      </xdr:spPr>
    </xdr:pic>
    <xdr:clientData/>
  </xdr:twoCellAnchor>
  <xdr:oneCellAnchor>
    <xdr:from>
      <xdr:col>8</xdr:col>
      <xdr:colOff>0</xdr:colOff>
      <xdr:row>12</xdr:row>
      <xdr:rowOff>0</xdr:rowOff>
    </xdr:from>
    <xdr:ext cx="47625" cy="9525"/>
    <xdr:pic>
      <xdr:nvPicPr>
        <xdr:cNvPr id="23" name="tbBuscador:idFormBuscarProceso:dtProcesos:1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D6AAFF3D-C31A-4037-9F1A-8D98C7B94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24" name="tbBuscador:idFormBuscarProceso:dtProcesos:1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F5B61D4-0C23-4B81-A338-4D4E53D1C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25" name="tbBuscador:idFormBuscarProceso:dtProcesos:10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A1FFBC0-9BB8-48B6-B516-575ADD470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26" name="tbBuscador:idFormBuscarProceso:dtProcesos:9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A5768A7-2F36-4CB1-AF2F-23D0E7B9D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27" name="tbBuscador:idFormBuscarProceso:dtProcesos:8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FC218E0-6F58-4AF4-9752-9C493E042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28" name="tbBuscador:idFormBuscarProceso:dtProcesos:7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C87EB461-F760-4A45-9CD0-21921309F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29" name="tbBuscador:idFormBuscarProceso:dtProcesos:6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3C86D204-2E1C-48A6-875D-6576105E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30" name="tbBuscador:idFormBuscarProceso:dtProcesos:5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9F7DE912-F74E-4DD0-8458-109BC3204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31" name="tbBuscador:idFormBuscarProceso:dtProcesos:4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766742F8-3CF9-45EF-87D4-9FBA64767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32" name="tbBuscador:idFormBuscarProceso:dtProcesos:2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BE269F2-04E8-4AF2-ABF8-80F66101C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33" name="tbBuscador:idFormBuscarProceso:dtProcesos:3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16D378E-C12D-4D33-AFCC-C47F95444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34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005A6507-2342-42C3-9C33-0CF86C666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35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D441F8F-65DA-4A65-848B-7FB047C8F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36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FF14C016-7108-4B06-8833-B8C7D61B6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37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8C9F8248-FB64-4CE0-A5E1-26F6A74D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38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4557E584-30D9-421A-9ABD-03533A18E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47625" cy="9525"/>
    <xdr:pic>
      <xdr:nvPicPr>
        <xdr:cNvPr id="39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6E39E389-3EBA-4B7F-B842-6D636E678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1389529</xdr:colOff>
      <xdr:row>12</xdr:row>
      <xdr:rowOff>0</xdr:rowOff>
    </xdr:from>
    <xdr:ext cx="47625" cy="9525"/>
    <xdr:pic>
      <xdr:nvPicPr>
        <xdr:cNvPr id="40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E1BC43E0-84F4-4527-951E-A86C29800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8504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1255059</xdr:colOff>
      <xdr:row>12</xdr:row>
      <xdr:rowOff>0</xdr:rowOff>
    </xdr:from>
    <xdr:ext cx="47625" cy="9525"/>
    <xdr:pic>
      <xdr:nvPicPr>
        <xdr:cNvPr id="41" name="tbBuscador:idFormBuscarProceso:dtProcesos:1:j_idt226" descr="https://prodapp2.seace.gob.pe/seacebus-uiwd-pub/javax.faces.resource/spacer/dot_clear.gif.xhtml?ln=primefaces">
          <a:extLst>
            <a:ext uri="{FF2B5EF4-FFF2-40B4-BE49-F238E27FC236}">
              <a16:creationId xmlns:a16="http://schemas.microsoft.com/office/drawing/2014/main" id="{B76B5D32-B5E3-41F5-9D47-5BA23A190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4034" y="3276600"/>
          <a:ext cx="476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erv_mon_08/Desktop/BASE%20DE%20PVD-JULIO-2018%2017.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livera\c\Pte.Matachico%20-%20Huancayo\Calendarios\Por%20Ampliacion%20de%20Plazo%20N&#186;%2004\Por%20Amp%204%20Verificado%20CES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E DATOS GENERAL "/>
      <sheetName val="BASE DE DATOS GENERAL  (2)"/>
      <sheetName val="BASE DE DATOS GENERAL  (3)"/>
      <sheetName val="BASE DE DATOS GENERAL  (4)"/>
      <sheetName val="BASE_DE_DATOS_GENERAL_"/>
      <sheetName val="BASE_DE_DATOS_GENERAL__(2)"/>
      <sheetName val="BASE_DE_DATOS_GENERAL__(3)"/>
      <sheetName val="BASE_DE_DATOS_GENERAL__(4)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OA Metrados"/>
      <sheetName val="CAOA Valorizado"/>
      <sheetName val="Avance de Obra"/>
      <sheetName val="CAOA_Metrados"/>
      <sheetName val="CAOA_Valorizado"/>
      <sheetName val="Avance_de_Obra"/>
      <sheetName val="CAOA_Metrados1"/>
      <sheetName val="CAOA_Valorizado1"/>
      <sheetName val="Avance_de_Obra1"/>
      <sheetName val="PuentesModulares_125"/>
      <sheetName val="Hoja1"/>
      <sheetName val="PuentesModulresRCC"/>
      <sheetName val="Emergencias Viales RRVV"/>
      <sheetName val="Emergencias Viales RRDD"/>
      <sheetName val="CAOA_Metrados2"/>
      <sheetName val="CAOA_Valorizado2"/>
      <sheetName val="Avance_de_Obra2"/>
      <sheetName val="Emergencias_Viales_RRVV"/>
      <sheetName val="Emergencias_Viales_RRDD"/>
      <sheetName val="CAOA_Metrados3"/>
      <sheetName val="CAOA_Valorizado3"/>
      <sheetName val="Avance_de_Obra3"/>
      <sheetName val="Emergencias_Viales_RRVV1"/>
      <sheetName val="Emergencias_Viales_RRDD1"/>
      <sheetName val="Costos Unitarios"/>
    </sheetNames>
    <sheetDataSet>
      <sheetData sheetId="0">
        <row r="90">
          <cell r="J90">
            <v>0</v>
          </cell>
        </row>
      </sheetData>
      <sheetData sheetId="1">
        <row r="90">
          <cell r="J90">
            <v>0</v>
          </cell>
        </row>
      </sheetData>
      <sheetData sheetId="2"/>
      <sheetData sheetId="3">
        <row r="90">
          <cell r="J90">
            <v>0</v>
          </cell>
        </row>
      </sheetData>
      <sheetData sheetId="4">
        <row r="90">
          <cell r="J90">
            <v>0</v>
          </cell>
        </row>
      </sheetData>
      <sheetData sheetId="5"/>
      <sheetData sheetId="6">
        <row r="90">
          <cell r="J90">
            <v>0</v>
          </cell>
        </row>
      </sheetData>
      <sheetData sheetId="7">
        <row r="90">
          <cell r="J90">
            <v>0</v>
          </cell>
        </row>
      </sheetData>
      <sheetData sheetId="8"/>
      <sheetData sheetId="9">
        <row r="90">
          <cell r="J90">
            <v>0</v>
          </cell>
        </row>
      </sheetData>
      <sheetData sheetId="10"/>
      <sheetData sheetId="11"/>
      <sheetData sheetId="12">
        <row r="90">
          <cell r="J90">
            <v>0</v>
          </cell>
        </row>
      </sheetData>
      <sheetData sheetId="13"/>
      <sheetData sheetId="14">
        <row r="90">
          <cell r="J90">
            <v>0</v>
          </cell>
        </row>
      </sheetData>
      <sheetData sheetId="15">
        <row r="90">
          <cell r="J90">
            <v>0</v>
          </cell>
        </row>
      </sheetData>
      <sheetData sheetId="16"/>
      <sheetData sheetId="17">
        <row r="90">
          <cell r="J90">
            <v>0</v>
          </cell>
        </row>
      </sheetData>
      <sheetData sheetId="18"/>
      <sheetData sheetId="19">
        <row r="90">
          <cell r="J90">
            <v>0</v>
          </cell>
        </row>
      </sheetData>
      <sheetData sheetId="20">
        <row r="90">
          <cell r="J90">
            <v>0</v>
          </cell>
        </row>
      </sheetData>
      <sheetData sheetId="21"/>
      <sheetData sheetId="22">
        <row r="90">
          <cell r="J90">
            <v>0</v>
          </cell>
        </row>
      </sheetData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766D-820A-47E1-95A9-C7BF507390B3}">
  <sheetPr>
    <pageSetUpPr fitToPage="1"/>
  </sheetPr>
  <dimension ref="B1:AD29"/>
  <sheetViews>
    <sheetView showGridLines="0" tabSelected="1" zoomScale="40" zoomScaleNormal="40" zoomScaleSheetLayoutView="55" zoomScalePageLayoutView="25" workbookViewId="0">
      <selection activeCell="J27" sqref="J27"/>
    </sheetView>
  </sheetViews>
  <sheetFormatPr baseColWidth="10" defaultColWidth="11.44140625" defaultRowHeight="14.4" x14ac:dyDescent="0.3"/>
  <cols>
    <col min="1" max="1" width="1.6640625" style="26" customWidth="1"/>
    <col min="2" max="2" width="6.88671875" style="26" customWidth="1"/>
    <col min="3" max="3" width="17.6640625" style="26" customWidth="1"/>
    <col min="4" max="4" width="20.88671875" style="26" customWidth="1"/>
    <col min="5" max="5" width="35.88671875" style="26" customWidth="1"/>
    <col min="6" max="6" width="24.5546875" style="26" customWidth="1"/>
    <col min="7" max="7" width="20.88671875" style="26" customWidth="1"/>
    <col min="8" max="8" width="17.6640625" style="26" customWidth="1"/>
    <col min="9" max="9" width="18.88671875" style="26" customWidth="1"/>
    <col min="10" max="10" width="34.44140625" style="26" customWidth="1"/>
    <col min="11" max="11" width="34.109375" style="26" customWidth="1"/>
    <col min="12" max="12" width="15.44140625" style="26" customWidth="1"/>
    <col min="13" max="13" width="29.109375" style="26" customWidth="1"/>
    <col min="14" max="14" width="34.44140625" style="26" customWidth="1"/>
    <col min="15" max="15" width="34" style="26" customWidth="1"/>
    <col min="16" max="16" width="27.6640625" style="26" customWidth="1"/>
    <col min="17" max="17" width="32.6640625" style="26" customWidth="1"/>
    <col min="18" max="18" width="34.44140625" style="26" customWidth="1"/>
    <col min="19" max="20" width="22.109375" style="26" customWidth="1"/>
    <col min="21" max="21" width="34" style="26" customWidth="1"/>
    <col min="22" max="23" width="28.109375" style="26" customWidth="1"/>
    <col min="24" max="24" width="37.5546875" style="26" customWidth="1"/>
    <col min="25" max="25" width="21.44140625" style="26" customWidth="1"/>
    <col min="26" max="26" width="17" style="26" customWidth="1"/>
    <col min="27" max="27" width="25.109375" style="26" customWidth="1"/>
    <col min="28" max="28" width="29.6640625" style="26" customWidth="1"/>
    <col min="29" max="29" width="18.6640625" style="26" customWidth="1"/>
    <col min="30" max="30" width="29.33203125" style="26" hidden="1" customWidth="1"/>
    <col min="31" max="32" width="13.33203125" style="26" customWidth="1"/>
    <col min="33" max="16384" width="11.44140625" style="26"/>
  </cols>
  <sheetData>
    <row r="1" spans="2:30" ht="114.75" customHeight="1" x14ac:dyDescent="0.3"/>
    <row r="2" spans="2:30" ht="71.25" customHeight="1" x14ac:dyDescent="0.3">
      <c r="B2" s="73" t="s">
        <v>133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spans="2:30" s="40" customFormat="1" ht="31.2" x14ac:dyDescent="0.3">
      <c r="B3" s="72" t="s">
        <v>140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2:30" s="40" customFormat="1" ht="31.2" x14ac:dyDescent="0.3">
      <c r="B4" s="72" t="s">
        <v>142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6" spans="2:30" s="43" customFormat="1" ht="41.25" customHeight="1" x14ac:dyDescent="0.3">
      <c r="B6" s="68" t="s">
        <v>9</v>
      </c>
      <c r="C6" s="68" t="s">
        <v>0</v>
      </c>
      <c r="D6" s="68" t="s">
        <v>17</v>
      </c>
      <c r="E6" s="68" t="s">
        <v>1</v>
      </c>
      <c r="F6" s="68" t="s">
        <v>2</v>
      </c>
      <c r="G6" s="68" t="s">
        <v>3</v>
      </c>
      <c r="H6" s="68" t="s">
        <v>120</v>
      </c>
      <c r="I6" s="68" t="s">
        <v>113</v>
      </c>
      <c r="J6" s="68" t="s">
        <v>112</v>
      </c>
      <c r="K6" s="68" t="s">
        <v>114</v>
      </c>
      <c r="L6" s="68" t="s">
        <v>125</v>
      </c>
      <c r="M6" s="74" t="s">
        <v>115</v>
      </c>
      <c r="N6" s="68" t="s">
        <v>121</v>
      </c>
      <c r="O6" s="68" t="s">
        <v>122</v>
      </c>
      <c r="P6" s="74" t="s">
        <v>116</v>
      </c>
      <c r="Q6" s="68" t="s">
        <v>123</v>
      </c>
      <c r="R6" s="68" t="s">
        <v>124</v>
      </c>
      <c r="S6" s="68" t="s">
        <v>127</v>
      </c>
      <c r="T6" s="68" t="s">
        <v>126</v>
      </c>
      <c r="U6" s="74" t="s">
        <v>111</v>
      </c>
      <c r="V6" s="68" t="s">
        <v>4</v>
      </c>
      <c r="W6" s="68" t="s">
        <v>131</v>
      </c>
      <c r="X6" s="74" t="s">
        <v>119</v>
      </c>
      <c r="Y6" s="68" t="s">
        <v>144</v>
      </c>
      <c r="Z6" s="74" t="s">
        <v>117</v>
      </c>
      <c r="AA6" s="68" t="s">
        <v>136</v>
      </c>
      <c r="AB6" s="68"/>
      <c r="AC6" s="68"/>
      <c r="AD6" s="68" t="s">
        <v>13</v>
      </c>
    </row>
    <row r="7" spans="2:30" s="43" customFormat="1" ht="69" customHeight="1" x14ac:dyDescent="0.3"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75"/>
      <c r="N7" s="68"/>
      <c r="O7" s="68"/>
      <c r="P7" s="75"/>
      <c r="Q7" s="68"/>
      <c r="R7" s="68"/>
      <c r="S7" s="68"/>
      <c r="T7" s="68"/>
      <c r="U7" s="75"/>
      <c r="V7" s="68"/>
      <c r="W7" s="68"/>
      <c r="X7" s="75"/>
      <c r="Y7" s="68"/>
      <c r="Z7" s="75"/>
      <c r="AA7" s="59" t="s">
        <v>118</v>
      </c>
      <c r="AB7" s="59" t="s">
        <v>10</v>
      </c>
      <c r="AC7" s="59" t="s">
        <v>7</v>
      </c>
      <c r="AD7" s="68"/>
    </row>
    <row r="8" spans="2:30" ht="30" customHeight="1" x14ac:dyDescent="0.3">
      <c r="B8" s="27"/>
      <c r="C8" s="20"/>
      <c r="D8" s="20"/>
      <c r="E8" s="20"/>
      <c r="F8" s="20"/>
      <c r="G8" s="20"/>
      <c r="H8" s="20"/>
      <c r="I8" s="33"/>
      <c r="J8" s="33"/>
      <c r="K8" s="20"/>
      <c r="L8" s="20"/>
      <c r="M8" s="32"/>
      <c r="N8" s="20"/>
      <c r="O8" s="20"/>
      <c r="P8" s="20"/>
      <c r="Q8" s="20"/>
      <c r="R8" s="20"/>
      <c r="S8" s="28"/>
      <c r="T8" s="28"/>
      <c r="U8" s="28"/>
      <c r="V8" s="20"/>
      <c r="W8" s="20"/>
      <c r="X8" s="20"/>
      <c r="Y8" s="29"/>
      <c r="Z8" s="29"/>
      <c r="AA8" s="27"/>
      <c r="AB8" s="27"/>
      <c r="AC8" s="27"/>
      <c r="AD8" s="20"/>
    </row>
    <row r="9" spans="2:30" ht="30" customHeight="1" x14ac:dyDescent="0.3">
      <c r="B9" s="27"/>
      <c r="C9" s="20"/>
      <c r="D9" s="20"/>
      <c r="E9" s="20"/>
      <c r="F9" s="20"/>
      <c r="G9" s="20"/>
      <c r="H9" s="20"/>
      <c r="I9" s="33"/>
      <c r="J9" s="33"/>
      <c r="K9" s="20"/>
      <c r="L9" s="20"/>
      <c r="M9" s="32"/>
      <c r="N9" s="20"/>
      <c r="O9" s="20"/>
      <c r="P9" s="20"/>
      <c r="Q9" s="20"/>
      <c r="R9" s="20"/>
      <c r="S9" s="28"/>
      <c r="T9" s="28"/>
      <c r="U9" s="28"/>
      <c r="V9" s="20"/>
      <c r="W9" s="20"/>
      <c r="X9" s="20"/>
      <c r="Y9" s="29"/>
      <c r="Z9" s="29"/>
      <c r="AA9" s="27"/>
      <c r="AB9" s="27"/>
      <c r="AC9" s="27"/>
      <c r="AD9" s="20"/>
    </row>
    <row r="10" spans="2:30" ht="30" customHeight="1" x14ac:dyDescent="0.3">
      <c r="B10" s="27"/>
      <c r="C10" s="20"/>
      <c r="D10" s="20"/>
      <c r="E10" s="20"/>
      <c r="F10" s="20"/>
      <c r="G10" s="20"/>
      <c r="H10" s="20"/>
      <c r="I10" s="33"/>
      <c r="J10" s="33"/>
      <c r="K10" s="20"/>
      <c r="L10" s="20"/>
      <c r="M10" s="32"/>
      <c r="N10" s="20"/>
      <c r="O10" s="20"/>
      <c r="P10" s="20"/>
      <c r="Q10" s="20"/>
      <c r="R10" s="20"/>
      <c r="S10" s="28"/>
      <c r="T10" s="28"/>
      <c r="U10" s="28"/>
      <c r="V10" s="20"/>
      <c r="W10" s="20"/>
      <c r="X10" s="20"/>
      <c r="Y10" s="29"/>
      <c r="Z10" s="29"/>
      <c r="AA10" s="27"/>
      <c r="AB10" s="27"/>
      <c r="AC10" s="27"/>
      <c r="AD10" s="20"/>
    </row>
    <row r="11" spans="2:30" ht="30" customHeight="1" x14ac:dyDescent="0.3">
      <c r="B11" s="27"/>
      <c r="C11" s="20"/>
      <c r="D11" s="20"/>
      <c r="E11" s="20"/>
      <c r="F11" s="20"/>
      <c r="G11" s="20"/>
      <c r="H11" s="20"/>
      <c r="I11" s="33"/>
      <c r="J11" s="33"/>
      <c r="K11" s="20"/>
      <c r="L11" s="20"/>
      <c r="M11" s="32"/>
      <c r="N11" s="20"/>
      <c r="O11" s="20"/>
      <c r="P11" s="20"/>
      <c r="Q11" s="20"/>
      <c r="R11" s="20"/>
      <c r="S11" s="28"/>
      <c r="T11" s="28"/>
      <c r="U11" s="28"/>
      <c r="V11" s="20"/>
      <c r="W11" s="20"/>
      <c r="X11" s="20"/>
      <c r="Y11" s="29"/>
      <c r="Z11" s="29"/>
      <c r="AA11" s="27"/>
      <c r="AB11" s="27"/>
      <c r="AC11" s="27"/>
      <c r="AD11" s="20"/>
    </row>
    <row r="12" spans="2:30" s="39" customFormat="1" ht="30" customHeight="1" x14ac:dyDescent="0.3">
      <c r="B12" s="36"/>
      <c r="C12" s="20"/>
      <c r="D12" s="33"/>
      <c r="E12" s="33"/>
      <c r="F12" s="33"/>
      <c r="G12" s="33"/>
      <c r="H12" s="33"/>
      <c r="I12" s="33"/>
      <c r="J12" s="33"/>
      <c r="K12" s="33"/>
      <c r="L12" s="33"/>
      <c r="M12" s="37"/>
      <c r="N12" s="33"/>
      <c r="O12" s="33"/>
      <c r="P12" s="33"/>
      <c r="Q12" s="33"/>
      <c r="R12" s="33"/>
      <c r="S12" s="38"/>
      <c r="T12" s="38"/>
      <c r="U12" s="38"/>
      <c r="V12" s="33"/>
      <c r="W12" s="33"/>
      <c r="X12" s="33"/>
      <c r="Y12" s="34"/>
      <c r="Z12" s="34"/>
      <c r="AA12" s="36"/>
      <c r="AB12" s="36"/>
      <c r="AC12" s="36"/>
      <c r="AD12" s="33"/>
    </row>
    <row r="13" spans="2:30" ht="30" customHeight="1" x14ac:dyDescent="0.3">
      <c r="B13" s="41"/>
      <c r="C13" s="42"/>
      <c r="D13" s="41"/>
      <c r="E13" s="69" t="s">
        <v>137</v>
      </c>
      <c r="F13" s="70"/>
      <c r="G13" s="70"/>
      <c r="H13" s="70"/>
      <c r="I13" s="70"/>
      <c r="J13" s="70"/>
      <c r="K13" s="71"/>
      <c r="L13" s="44"/>
      <c r="M13" s="45"/>
      <c r="N13" s="44"/>
      <c r="O13" s="44"/>
      <c r="P13" s="45"/>
      <c r="Q13" s="44"/>
      <c r="R13" s="44"/>
      <c r="S13" s="46">
        <f>SUM(S8:S12)</f>
        <v>0</v>
      </c>
      <c r="T13" s="46">
        <f>SUM(T8:T12)</f>
        <v>0</v>
      </c>
      <c r="U13" s="46"/>
      <c r="V13" s="47"/>
      <c r="W13" s="47"/>
      <c r="X13" s="47"/>
      <c r="Y13" s="48"/>
      <c r="Z13" s="48"/>
      <c r="AA13" s="63">
        <f>SUM(AA8:AA12)</f>
        <v>0</v>
      </c>
      <c r="AB13" s="63">
        <f t="shared" ref="AB13:AC13" si="0">SUM(AB8:AB12)</f>
        <v>0</v>
      </c>
      <c r="AC13" s="63">
        <f t="shared" si="0"/>
        <v>0</v>
      </c>
      <c r="AD13" s="20"/>
    </row>
    <row r="14" spans="2:30" s="39" customFormat="1" ht="30" customHeight="1" x14ac:dyDescent="0.3">
      <c r="B14" s="36"/>
      <c r="C14" s="20"/>
      <c r="D14" s="33"/>
      <c r="E14" s="49"/>
      <c r="F14" s="49"/>
      <c r="G14" s="49"/>
      <c r="H14" s="49"/>
      <c r="I14" s="49"/>
      <c r="J14" s="49"/>
      <c r="K14" s="49"/>
      <c r="L14" s="49"/>
      <c r="M14" s="50"/>
      <c r="N14" s="49"/>
      <c r="O14" s="49"/>
      <c r="P14" s="49"/>
      <c r="Q14" s="49"/>
      <c r="R14" s="49"/>
      <c r="S14" s="51"/>
      <c r="T14" s="51"/>
      <c r="U14" s="51"/>
      <c r="V14" s="49"/>
      <c r="W14" s="49"/>
      <c r="X14" s="49"/>
      <c r="Y14" s="52"/>
      <c r="Z14" s="52"/>
      <c r="AA14" s="53"/>
      <c r="AB14" s="53"/>
      <c r="AC14" s="53"/>
      <c r="AD14" s="33"/>
    </row>
    <row r="15" spans="2:30" s="39" customFormat="1" ht="30" customHeight="1" x14ac:dyDescent="0.3">
      <c r="B15" s="36"/>
      <c r="C15" s="20"/>
      <c r="D15" s="33"/>
      <c r="E15" s="49"/>
      <c r="F15" s="49"/>
      <c r="G15" s="49"/>
      <c r="H15" s="49"/>
      <c r="I15" s="49"/>
      <c r="J15" s="49"/>
      <c r="K15" s="49"/>
      <c r="L15" s="49"/>
      <c r="M15" s="50"/>
      <c r="N15" s="49"/>
      <c r="O15" s="49"/>
      <c r="P15" s="49"/>
      <c r="Q15" s="49"/>
      <c r="R15" s="49"/>
      <c r="S15" s="51"/>
      <c r="T15" s="51"/>
      <c r="U15" s="51"/>
      <c r="V15" s="49"/>
      <c r="W15" s="49"/>
      <c r="X15" s="49"/>
      <c r="Y15" s="52"/>
      <c r="Z15" s="52"/>
      <c r="AA15" s="53"/>
      <c r="AB15" s="53"/>
      <c r="AC15" s="53"/>
      <c r="AD15" s="33"/>
    </row>
    <row r="16" spans="2:30" s="39" customFormat="1" ht="30" customHeight="1" x14ac:dyDescent="0.3">
      <c r="B16" s="36"/>
      <c r="C16" s="20"/>
      <c r="D16" s="33"/>
      <c r="E16" s="49"/>
      <c r="F16" s="49"/>
      <c r="G16" s="49"/>
      <c r="H16" s="49"/>
      <c r="I16" s="49"/>
      <c r="J16" s="49"/>
      <c r="K16" s="49"/>
      <c r="L16" s="49"/>
      <c r="M16" s="50"/>
      <c r="N16" s="49"/>
      <c r="O16" s="49"/>
      <c r="P16" s="49"/>
      <c r="Q16" s="49"/>
      <c r="R16" s="49"/>
      <c r="S16" s="51"/>
      <c r="T16" s="51"/>
      <c r="U16" s="51"/>
      <c r="V16" s="49"/>
      <c r="W16" s="49"/>
      <c r="X16" s="49"/>
      <c r="Y16" s="52"/>
      <c r="Z16" s="52"/>
      <c r="AA16" s="53"/>
      <c r="AB16" s="53"/>
      <c r="AC16" s="53"/>
      <c r="AD16" s="33"/>
    </row>
    <row r="17" spans="2:30" s="39" customFormat="1" ht="30" customHeight="1" x14ac:dyDescent="0.3">
      <c r="B17" s="36"/>
      <c r="C17" s="20"/>
      <c r="D17" s="33"/>
      <c r="E17" s="49"/>
      <c r="F17" s="49"/>
      <c r="G17" s="49"/>
      <c r="H17" s="49"/>
      <c r="I17" s="49"/>
      <c r="J17" s="49"/>
      <c r="K17" s="49"/>
      <c r="L17" s="49"/>
      <c r="M17" s="50"/>
      <c r="N17" s="49"/>
      <c r="O17" s="49"/>
      <c r="P17" s="49"/>
      <c r="Q17" s="49"/>
      <c r="R17" s="49"/>
      <c r="S17" s="51"/>
      <c r="T17" s="51"/>
      <c r="U17" s="51"/>
      <c r="V17" s="49"/>
      <c r="W17" s="49"/>
      <c r="X17" s="49"/>
      <c r="Y17" s="52"/>
      <c r="Z17" s="52"/>
      <c r="AA17" s="53"/>
      <c r="AB17" s="53"/>
      <c r="AC17" s="53"/>
      <c r="AD17" s="33"/>
    </row>
    <row r="18" spans="2:30" ht="30" customHeight="1" x14ac:dyDescent="0.3">
      <c r="B18" s="41"/>
      <c r="C18" s="42"/>
      <c r="D18" s="41"/>
      <c r="E18" s="69" t="s">
        <v>138</v>
      </c>
      <c r="F18" s="70"/>
      <c r="G18" s="70"/>
      <c r="H18" s="70"/>
      <c r="I18" s="70"/>
      <c r="J18" s="70"/>
      <c r="K18" s="71"/>
      <c r="L18" s="44"/>
      <c r="M18" s="45"/>
      <c r="N18" s="44"/>
      <c r="O18" s="44"/>
      <c r="P18" s="45"/>
      <c r="Q18" s="44"/>
      <c r="R18" s="44"/>
      <c r="S18" s="46">
        <f>SUM(S14:S17)</f>
        <v>0</v>
      </c>
      <c r="T18" s="46">
        <f>SUM(T14:T17)</f>
        <v>0</v>
      </c>
      <c r="U18" s="46"/>
      <c r="V18" s="47"/>
      <c r="W18" s="47"/>
      <c r="X18" s="47"/>
      <c r="Y18" s="48"/>
      <c r="Z18" s="48"/>
      <c r="AA18" s="63">
        <f>SUM(AA14:AA17)</f>
        <v>0</v>
      </c>
      <c r="AB18" s="63">
        <f t="shared" ref="AB18:AC18" si="1">SUM(AB14:AB17)</f>
        <v>0</v>
      </c>
      <c r="AC18" s="63">
        <f t="shared" si="1"/>
        <v>0</v>
      </c>
      <c r="AD18" s="20"/>
    </row>
    <row r="19" spans="2:30" ht="30" customHeight="1" x14ac:dyDescent="0.3">
      <c r="B19" s="30"/>
      <c r="C19" s="31"/>
      <c r="D19" s="30"/>
      <c r="E19" s="65" t="s">
        <v>139</v>
      </c>
      <c r="F19" s="66"/>
      <c r="G19" s="66"/>
      <c r="H19" s="66"/>
      <c r="I19" s="66"/>
      <c r="J19" s="66"/>
      <c r="K19" s="67"/>
      <c r="L19" s="54"/>
      <c r="M19" s="55"/>
      <c r="N19" s="54"/>
      <c r="O19" s="54"/>
      <c r="P19" s="55"/>
      <c r="Q19" s="54"/>
      <c r="R19" s="54"/>
      <c r="S19" s="56">
        <f>+S13+S18</f>
        <v>0</v>
      </c>
      <c r="T19" s="56">
        <f>+T13+T18</f>
        <v>0</v>
      </c>
      <c r="U19" s="56"/>
      <c r="V19" s="57"/>
      <c r="W19" s="57"/>
      <c r="X19" s="57"/>
      <c r="Y19" s="58"/>
      <c r="Z19" s="58"/>
      <c r="AA19" s="64">
        <f>+AA13+AA18</f>
        <v>0</v>
      </c>
      <c r="AB19" s="64">
        <f>+AB13+AB18</f>
        <v>0</v>
      </c>
      <c r="AC19" s="64">
        <f>+AC13+AC18</f>
        <v>0</v>
      </c>
      <c r="AD19" s="20"/>
    </row>
    <row r="20" spans="2:30" ht="24.9" customHeight="1" x14ac:dyDescent="0.3">
      <c r="AC20" s="35"/>
    </row>
    <row r="21" spans="2:30" ht="24.9" customHeight="1" x14ac:dyDescent="0.3"/>
    <row r="22" spans="2:30" ht="34.5" customHeight="1" x14ac:dyDescent="0.3">
      <c r="B22" s="60"/>
      <c r="C22" s="61"/>
      <c r="D22" s="61"/>
      <c r="E22" s="61"/>
    </row>
    <row r="23" spans="2:30" ht="45" customHeight="1" x14ac:dyDescent="0.3">
      <c r="B23" s="61"/>
      <c r="C23" s="62"/>
      <c r="D23" s="61"/>
      <c r="E23" s="61"/>
      <c r="AC23" s="35"/>
    </row>
    <row r="24" spans="2:30" ht="24.9" customHeight="1" x14ac:dyDescent="0.3"/>
    <row r="25" spans="2:30" ht="24.9" customHeight="1" x14ac:dyDescent="0.3"/>
    <row r="26" spans="2:30" ht="24.9" customHeight="1" x14ac:dyDescent="0.3"/>
    <row r="27" spans="2:30" ht="24.9" customHeight="1" x14ac:dyDescent="0.3"/>
    <row r="28" spans="2:30" ht="24.9" customHeight="1" x14ac:dyDescent="0.3"/>
    <row r="29" spans="2:30" ht="24.9" customHeight="1" x14ac:dyDescent="0.3"/>
  </sheetData>
  <mergeCells count="33">
    <mergeCell ref="AD6:AD7"/>
    <mergeCell ref="M6:M7"/>
    <mergeCell ref="P6:P7"/>
    <mergeCell ref="U6:U7"/>
    <mergeCell ref="J6:J7"/>
    <mergeCell ref="AA6:AC6"/>
    <mergeCell ref="L6:L7"/>
    <mergeCell ref="R6:R7"/>
    <mergeCell ref="Q6:Q7"/>
    <mergeCell ref="O6:O7"/>
    <mergeCell ref="N6:N7"/>
    <mergeCell ref="B4:AC4"/>
    <mergeCell ref="B3:AC3"/>
    <mergeCell ref="B2:AC2"/>
    <mergeCell ref="X6:X7"/>
    <mergeCell ref="H6:H7"/>
    <mergeCell ref="W6:W7"/>
    <mergeCell ref="S6:S7"/>
    <mergeCell ref="Z6:Z7"/>
    <mergeCell ref="E19:K19"/>
    <mergeCell ref="B6:B7"/>
    <mergeCell ref="T6:T7"/>
    <mergeCell ref="V6:V7"/>
    <mergeCell ref="Y6:Y7"/>
    <mergeCell ref="C6:C7"/>
    <mergeCell ref="I6:I7"/>
    <mergeCell ref="E6:E7"/>
    <mergeCell ref="F6:F7"/>
    <mergeCell ref="G6:G7"/>
    <mergeCell ref="K6:K7"/>
    <mergeCell ref="D6:D7"/>
    <mergeCell ref="E18:K18"/>
    <mergeCell ref="E13:K13"/>
  </mergeCells>
  <phoneticPr fontId="12" type="noConversion"/>
  <conditionalFormatting sqref="J8">
    <cfRule type="duplicateValues" dxfId="13" priority="8"/>
  </conditionalFormatting>
  <conditionalFormatting sqref="J10">
    <cfRule type="duplicateValues" dxfId="12" priority="7"/>
  </conditionalFormatting>
  <conditionalFormatting sqref="J11">
    <cfRule type="duplicateValues" dxfId="11" priority="6"/>
  </conditionalFormatting>
  <conditionalFormatting sqref="K8:L12 N8:O12 Q8:R12 K14:L17 N14:O17 Q14:R17">
    <cfRule type="duplicateValues" dxfId="10" priority="59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9" fitToHeight="0" orientation="landscape" r:id="rId1"/>
  <headerFooter>
    <oddFooter>&amp;L&amp;18Jirón Camaná 678 – Lima - Perú
T. (511) 514-5300
www.gob.pe/pvd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727C-5B82-4EFB-82AE-C8137DD20E50}">
  <sheetPr>
    <pageSetUpPr fitToPage="1"/>
  </sheetPr>
  <dimension ref="B1:AD29"/>
  <sheetViews>
    <sheetView showGridLines="0" zoomScale="40" zoomScaleNormal="40" zoomScaleSheetLayoutView="80" zoomScalePageLayoutView="25" workbookViewId="0">
      <selection activeCell="U23" sqref="U23"/>
    </sheetView>
  </sheetViews>
  <sheetFormatPr baseColWidth="10" defaultColWidth="11.44140625" defaultRowHeight="14.4" x14ac:dyDescent="0.3"/>
  <cols>
    <col min="1" max="1" width="1.6640625" style="26" customWidth="1"/>
    <col min="2" max="2" width="6.88671875" style="26" customWidth="1"/>
    <col min="3" max="3" width="17.6640625" style="26" customWidth="1"/>
    <col min="4" max="4" width="20.88671875" style="26" customWidth="1"/>
    <col min="5" max="5" width="35.88671875" style="26" customWidth="1"/>
    <col min="6" max="6" width="24.5546875" style="26" customWidth="1"/>
    <col min="7" max="7" width="20.88671875" style="26" customWidth="1"/>
    <col min="8" max="8" width="17.6640625" style="26" customWidth="1"/>
    <col min="9" max="9" width="18.88671875" style="26" customWidth="1"/>
    <col min="10" max="10" width="34.44140625" style="26" customWidth="1"/>
    <col min="11" max="11" width="34.109375" style="26" customWidth="1"/>
    <col min="12" max="12" width="15.44140625" style="26" customWidth="1"/>
    <col min="13" max="13" width="29.109375" style="26" customWidth="1"/>
    <col min="14" max="14" width="34.44140625" style="26" customWidth="1"/>
    <col min="15" max="15" width="34" style="26" customWidth="1"/>
    <col min="16" max="16" width="27.6640625" style="26" customWidth="1"/>
    <col min="17" max="17" width="32.6640625" style="26" customWidth="1"/>
    <col min="18" max="18" width="34.44140625" style="26" customWidth="1"/>
    <col min="19" max="20" width="22.109375" style="26" customWidth="1"/>
    <col min="21" max="21" width="26.44140625" style="26" customWidth="1"/>
    <col min="22" max="23" width="28.109375" style="26" customWidth="1"/>
    <col min="24" max="24" width="37.5546875" style="26" customWidth="1"/>
    <col min="25" max="25" width="21.44140625" style="26" customWidth="1"/>
    <col min="26" max="26" width="17" style="26" customWidth="1"/>
    <col min="27" max="27" width="25.109375" style="26" customWidth="1"/>
    <col min="28" max="28" width="29.6640625" style="26" customWidth="1"/>
    <col min="29" max="29" width="18.6640625" style="26" customWidth="1"/>
    <col min="30" max="30" width="29.33203125" style="26" hidden="1" customWidth="1"/>
    <col min="31" max="32" width="13.33203125" style="26" customWidth="1"/>
    <col min="33" max="16384" width="11.44140625" style="26"/>
  </cols>
  <sheetData>
    <row r="1" spans="2:30" ht="114.75" customHeight="1" x14ac:dyDescent="0.3"/>
    <row r="2" spans="2:30" ht="71.25" customHeight="1" x14ac:dyDescent="0.3">
      <c r="B2" s="73" t="s">
        <v>133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spans="2:30" s="40" customFormat="1" ht="31.2" x14ac:dyDescent="0.3">
      <c r="B3" s="72" t="s">
        <v>141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2:30" s="40" customFormat="1" ht="31.2" x14ac:dyDescent="0.3">
      <c r="B4" s="72" t="s">
        <v>143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6" spans="2:30" s="43" customFormat="1" ht="41.25" customHeight="1" x14ac:dyDescent="0.3">
      <c r="B6" s="68" t="s">
        <v>9</v>
      </c>
      <c r="C6" s="68" t="s">
        <v>0</v>
      </c>
      <c r="D6" s="68" t="s">
        <v>17</v>
      </c>
      <c r="E6" s="68" t="s">
        <v>1</v>
      </c>
      <c r="F6" s="68" t="s">
        <v>2</v>
      </c>
      <c r="G6" s="68" t="s">
        <v>3</v>
      </c>
      <c r="H6" s="68" t="s">
        <v>120</v>
      </c>
      <c r="I6" s="68" t="s">
        <v>113</v>
      </c>
      <c r="J6" s="68" t="s">
        <v>112</v>
      </c>
      <c r="K6" s="68" t="s">
        <v>114</v>
      </c>
      <c r="L6" s="68" t="s">
        <v>125</v>
      </c>
      <c r="M6" s="74" t="s">
        <v>115</v>
      </c>
      <c r="N6" s="68" t="s">
        <v>121</v>
      </c>
      <c r="O6" s="68" t="s">
        <v>122</v>
      </c>
      <c r="P6" s="74" t="s">
        <v>116</v>
      </c>
      <c r="Q6" s="68" t="s">
        <v>123</v>
      </c>
      <c r="R6" s="68" t="s">
        <v>124</v>
      </c>
      <c r="S6" s="68" t="s">
        <v>127</v>
      </c>
      <c r="T6" s="68" t="s">
        <v>126</v>
      </c>
      <c r="U6" s="74" t="s">
        <v>111</v>
      </c>
      <c r="V6" s="68" t="s">
        <v>4</v>
      </c>
      <c r="W6" s="68" t="s">
        <v>131</v>
      </c>
      <c r="X6" s="74" t="s">
        <v>119</v>
      </c>
      <c r="Y6" s="68" t="s">
        <v>128</v>
      </c>
      <c r="Z6" s="74" t="s">
        <v>117</v>
      </c>
      <c r="AA6" s="68" t="s">
        <v>136</v>
      </c>
      <c r="AB6" s="68"/>
      <c r="AC6" s="68"/>
      <c r="AD6" s="68" t="s">
        <v>13</v>
      </c>
    </row>
    <row r="7" spans="2:30" s="43" customFormat="1" ht="69" customHeight="1" x14ac:dyDescent="0.3"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75"/>
      <c r="N7" s="68"/>
      <c r="O7" s="68"/>
      <c r="P7" s="75"/>
      <c r="Q7" s="68"/>
      <c r="R7" s="68"/>
      <c r="S7" s="68"/>
      <c r="T7" s="68"/>
      <c r="U7" s="75"/>
      <c r="V7" s="68"/>
      <c r="W7" s="68"/>
      <c r="X7" s="75"/>
      <c r="Y7" s="68"/>
      <c r="Z7" s="75"/>
      <c r="AA7" s="59" t="s">
        <v>118</v>
      </c>
      <c r="AB7" s="59" t="s">
        <v>130</v>
      </c>
      <c r="AC7" s="59" t="s">
        <v>7</v>
      </c>
      <c r="AD7" s="68"/>
    </row>
    <row r="8" spans="2:30" ht="30" customHeight="1" x14ac:dyDescent="0.3">
      <c r="B8" s="27"/>
      <c r="C8" s="20"/>
      <c r="D8" s="20"/>
      <c r="E8" s="20"/>
      <c r="F8" s="20"/>
      <c r="G8" s="20"/>
      <c r="H8" s="20"/>
      <c r="I8" s="33"/>
      <c r="J8" s="33"/>
      <c r="K8" s="20"/>
      <c r="L8" s="20"/>
      <c r="M8" s="32"/>
      <c r="N8" s="20"/>
      <c r="O8" s="20"/>
      <c r="P8" s="20"/>
      <c r="Q8" s="20"/>
      <c r="R8" s="20"/>
      <c r="S8" s="28"/>
      <c r="T8" s="28"/>
      <c r="U8" s="28"/>
      <c r="V8" s="20"/>
      <c r="W8" s="20"/>
      <c r="X8" s="20"/>
      <c r="Y8" s="29"/>
      <c r="Z8" s="29"/>
      <c r="AA8" s="27"/>
      <c r="AB8" s="27"/>
      <c r="AC8" s="27"/>
      <c r="AD8" s="20"/>
    </row>
    <row r="9" spans="2:30" ht="30" customHeight="1" x14ac:dyDescent="0.3">
      <c r="B9" s="27"/>
      <c r="C9" s="20"/>
      <c r="D9" s="20"/>
      <c r="E9" s="20"/>
      <c r="F9" s="20"/>
      <c r="G9" s="20"/>
      <c r="H9" s="20"/>
      <c r="I9" s="33"/>
      <c r="J9" s="33"/>
      <c r="K9" s="20"/>
      <c r="L9" s="20"/>
      <c r="M9" s="32"/>
      <c r="N9" s="20"/>
      <c r="O9" s="20"/>
      <c r="P9" s="20"/>
      <c r="Q9" s="20"/>
      <c r="R9" s="20"/>
      <c r="S9" s="28"/>
      <c r="T9" s="28"/>
      <c r="U9" s="28"/>
      <c r="V9" s="20"/>
      <c r="W9" s="20"/>
      <c r="X9" s="20"/>
      <c r="Y9" s="29"/>
      <c r="Z9" s="29"/>
      <c r="AA9" s="27"/>
      <c r="AB9" s="27"/>
      <c r="AC9" s="27"/>
      <c r="AD9" s="20"/>
    </row>
    <row r="10" spans="2:30" ht="30" customHeight="1" x14ac:dyDescent="0.3">
      <c r="B10" s="27"/>
      <c r="C10" s="20"/>
      <c r="D10" s="20"/>
      <c r="E10" s="20"/>
      <c r="F10" s="20"/>
      <c r="G10" s="20"/>
      <c r="H10" s="20"/>
      <c r="I10" s="33"/>
      <c r="J10" s="33"/>
      <c r="K10" s="20"/>
      <c r="L10" s="20"/>
      <c r="M10" s="32"/>
      <c r="N10" s="20"/>
      <c r="O10" s="20"/>
      <c r="P10" s="20"/>
      <c r="Q10" s="20"/>
      <c r="R10" s="20"/>
      <c r="S10" s="28"/>
      <c r="T10" s="28"/>
      <c r="U10" s="28"/>
      <c r="V10" s="20"/>
      <c r="W10" s="20"/>
      <c r="X10" s="20"/>
      <c r="Y10" s="29"/>
      <c r="Z10" s="29"/>
      <c r="AA10" s="27"/>
      <c r="AB10" s="27"/>
      <c r="AC10" s="27"/>
      <c r="AD10" s="20"/>
    </row>
    <row r="11" spans="2:30" ht="30" customHeight="1" x14ac:dyDescent="0.3">
      <c r="B11" s="27"/>
      <c r="C11" s="20"/>
      <c r="D11" s="20"/>
      <c r="E11" s="20"/>
      <c r="F11" s="20"/>
      <c r="G11" s="20"/>
      <c r="H11" s="20"/>
      <c r="I11" s="33"/>
      <c r="J11" s="33"/>
      <c r="K11" s="20"/>
      <c r="L11" s="20"/>
      <c r="M11" s="32"/>
      <c r="N11" s="20"/>
      <c r="O11" s="20"/>
      <c r="P11" s="20"/>
      <c r="Q11" s="20"/>
      <c r="R11" s="20"/>
      <c r="S11" s="28"/>
      <c r="T11" s="28"/>
      <c r="U11" s="28"/>
      <c r="V11" s="20"/>
      <c r="W11" s="20"/>
      <c r="X11" s="20"/>
      <c r="Y11" s="29"/>
      <c r="Z11" s="29"/>
      <c r="AA11" s="27"/>
      <c r="AB11" s="27"/>
      <c r="AC11" s="27"/>
      <c r="AD11" s="20"/>
    </row>
    <row r="12" spans="2:30" s="39" customFormat="1" ht="30" customHeight="1" x14ac:dyDescent="0.3">
      <c r="B12" s="36"/>
      <c r="C12" s="20"/>
      <c r="D12" s="33"/>
      <c r="E12" s="33"/>
      <c r="F12" s="33"/>
      <c r="G12" s="33"/>
      <c r="H12" s="33"/>
      <c r="I12" s="33"/>
      <c r="J12" s="33"/>
      <c r="K12" s="33"/>
      <c r="L12" s="33"/>
      <c r="M12" s="37"/>
      <c r="N12" s="33"/>
      <c r="O12" s="33"/>
      <c r="P12" s="33"/>
      <c r="Q12" s="33"/>
      <c r="R12" s="33"/>
      <c r="S12" s="38"/>
      <c r="T12" s="38"/>
      <c r="U12" s="38"/>
      <c r="V12" s="33"/>
      <c r="W12" s="33"/>
      <c r="X12" s="33"/>
      <c r="Y12" s="34"/>
      <c r="Z12" s="34"/>
      <c r="AA12" s="36"/>
      <c r="AB12" s="36"/>
      <c r="AC12" s="36"/>
      <c r="AD12" s="33"/>
    </row>
    <row r="13" spans="2:30" ht="30" customHeight="1" x14ac:dyDescent="0.3">
      <c r="B13" s="41"/>
      <c r="C13" s="42"/>
      <c r="D13" s="41"/>
      <c r="E13" s="69" t="s">
        <v>137</v>
      </c>
      <c r="F13" s="70"/>
      <c r="G13" s="70"/>
      <c r="H13" s="70"/>
      <c r="I13" s="70"/>
      <c r="J13" s="70"/>
      <c r="K13" s="71"/>
      <c r="L13" s="44"/>
      <c r="M13" s="45"/>
      <c r="N13" s="44"/>
      <c r="O13" s="44"/>
      <c r="P13" s="45"/>
      <c r="Q13" s="44"/>
      <c r="R13" s="44"/>
      <c r="S13" s="46">
        <f>SUM(S8:S12)</f>
        <v>0</v>
      </c>
      <c r="T13" s="46">
        <f>SUM(T8:T12)</f>
        <v>0</v>
      </c>
      <c r="U13" s="46"/>
      <c r="V13" s="47"/>
      <c r="W13" s="47"/>
      <c r="X13" s="47"/>
      <c r="Y13" s="48"/>
      <c r="Z13" s="48"/>
      <c r="AA13" s="63">
        <f>SUM(AA8:AA12)</f>
        <v>0</v>
      </c>
      <c r="AB13" s="63">
        <f t="shared" ref="AB13:AC13" si="0">SUM(AB8:AB12)</f>
        <v>0</v>
      </c>
      <c r="AC13" s="63">
        <f t="shared" si="0"/>
        <v>0</v>
      </c>
      <c r="AD13" s="20"/>
    </row>
    <row r="14" spans="2:30" s="39" customFormat="1" ht="30" customHeight="1" x14ac:dyDescent="0.3">
      <c r="B14" s="36"/>
      <c r="C14" s="20"/>
      <c r="D14" s="33"/>
      <c r="E14" s="49"/>
      <c r="F14" s="49"/>
      <c r="G14" s="49"/>
      <c r="H14" s="49"/>
      <c r="I14" s="49"/>
      <c r="J14" s="49"/>
      <c r="K14" s="49"/>
      <c r="L14" s="49"/>
      <c r="M14" s="50"/>
      <c r="N14" s="49"/>
      <c r="O14" s="49"/>
      <c r="P14" s="49"/>
      <c r="Q14" s="49"/>
      <c r="R14" s="49"/>
      <c r="S14" s="51"/>
      <c r="T14" s="51"/>
      <c r="U14" s="51"/>
      <c r="V14" s="49"/>
      <c r="W14" s="49"/>
      <c r="X14" s="49"/>
      <c r="Y14" s="52"/>
      <c r="Z14" s="52"/>
      <c r="AA14" s="53"/>
      <c r="AB14" s="53"/>
      <c r="AC14" s="53"/>
      <c r="AD14" s="33"/>
    </row>
    <row r="15" spans="2:30" s="39" customFormat="1" ht="30" customHeight="1" x14ac:dyDescent="0.3">
      <c r="B15" s="36"/>
      <c r="C15" s="20"/>
      <c r="D15" s="33"/>
      <c r="E15" s="49"/>
      <c r="F15" s="49"/>
      <c r="G15" s="49"/>
      <c r="H15" s="49"/>
      <c r="I15" s="49"/>
      <c r="J15" s="49"/>
      <c r="K15" s="49"/>
      <c r="L15" s="49"/>
      <c r="M15" s="50"/>
      <c r="N15" s="49"/>
      <c r="O15" s="49"/>
      <c r="P15" s="49"/>
      <c r="Q15" s="49"/>
      <c r="R15" s="49"/>
      <c r="S15" s="51"/>
      <c r="T15" s="51"/>
      <c r="U15" s="51"/>
      <c r="V15" s="49"/>
      <c r="W15" s="49"/>
      <c r="X15" s="49"/>
      <c r="Y15" s="52"/>
      <c r="Z15" s="52"/>
      <c r="AA15" s="53"/>
      <c r="AB15" s="53"/>
      <c r="AC15" s="53"/>
      <c r="AD15" s="33"/>
    </row>
    <row r="16" spans="2:30" s="39" customFormat="1" ht="30" customHeight="1" x14ac:dyDescent="0.3">
      <c r="B16" s="36"/>
      <c r="C16" s="20"/>
      <c r="D16" s="33"/>
      <c r="E16" s="49"/>
      <c r="F16" s="49"/>
      <c r="G16" s="49"/>
      <c r="H16" s="49"/>
      <c r="I16" s="49"/>
      <c r="J16" s="49"/>
      <c r="K16" s="49"/>
      <c r="L16" s="49"/>
      <c r="M16" s="50"/>
      <c r="N16" s="49"/>
      <c r="O16" s="49"/>
      <c r="P16" s="49"/>
      <c r="Q16" s="49"/>
      <c r="R16" s="49"/>
      <c r="S16" s="51"/>
      <c r="T16" s="51"/>
      <c r="U16" s="51"/>
      <c r="V16" s="49"/>
      <c r="W16" s="49"/>
      <c r="X16" s="49"/>
      <c r="Y16" s="52"/>
      <c r="Z16" s="52"/>
      <c r="AA16" s="53"/>
      <c r="AB16" s="53"/>
      <c r="AC16" s="53"/>
      <c r="AD16" s="33"/>
    </row>
    <row r="17" spans="2:30" s="39" customFormat="1" ht="30" customHeight="1" x14ac:dyDescent="0.3">
      <c r="B17" s="36"/>
      <c r="C17" s="20"/>
      <c r="D17" s="33"/>
      <c r="E17" s="49"/>
      <c r="F17" s="49"/>
      <c r="G17" s="49"/>
      <c r="H17" s="49"/>
      <c r="I17" s="49"/>
      <c r="J17" s="49"/>
      <c r="K17" s="49"/>
      <c r="L17" s="49"/>
      <c r="M17" s="50"/>
      <c r="N17" s="49"/>
      <c r="O17" s="49"/>
      <c r="P17" s="49"/>
      <c r="Q17" s="49"/>
      <c r="R17" s="49"/>
      <c r="S17" s="51"/>
      <c r="T17" s="51"/>
      <c r="U17" s="51"/>
      <c r="V17" s="49"/>
      <c r="W17" s="49"/>
      <c r="X17" s="49"/>
      <c r="Y17" s="52"/>
      <c r="Z17" s="52"/>
      <c r="AA17" s="53"/>
      <c r="AB17" s="53"/>
      <c r="AC17" s="53"/>
      <c r="AD17" s="33"/>
    </row>
    <row r="18" spans="2:30" ht="30" customHeight="1" x14ac:dyDescent="0.3">
      <c r="B18" s="41"/>
      <c r="C18" s="42"/>
      <c r="D18" s="41"/>
      <c r="E18" s="69" t="s">
        <v>138</v>
      </c>
      <c r="F18" s="70"/>
      <c r="G18" s="70"/>
      <c r="H18" s="70"/>
      <c r="I18" s="70"/>
      <c r="J18" s="70"/>
      <c r="K18" s="71"/>
      <c r="L18" s="44"/>
      <c r="M18" s="45"/>
      <c r="N18" s="44"/>
      <c r="O18" s="44"/>
      <c r="P18" s="45"/>
      <c r="Q18" s="44"/>
      <c r="R18" s="44"/>
      <c r="S18" s="46">
        <f>SUM(S14:S17)</f>
        <v>0</v>
      </c>
      <c r="T18" s="46">
        <f>SUM(T14:T17)</f>
        <v>0</v>
      </c>
      <c r="U18" s="46"/>
      <c r="V18" s="47"/>
      <c r="W18" s="47"/>
      <c r="X18" s="47"/>
      <c r="Y18" s="48"/>
      <c r="Z18" s="48"/>
      <c r="AA18" s="63">
        <f>SUM(AA14:AA17)</f>
        <v>0</v>
      </c>
      <c r="AB18" s="63">
        <f t="shared" ref="AB18:AC18" si="1">SUM(AB14:AB17)</f>
        <v>0</v>
      </c>
      <c r="AC18" s="63">
        <f t="shared" si="1"/>
        <v>0</v>
      </c>
      <c r="AD18" s="20"/>
    </row>
    <row r="19" spans="2:30" ht="30" customHeight="1" x14ac:dyDescent="0.3">
      <c r="B19" s="30"/>
      <c r="C19" s="31"/>
      <c r="D19" s="30"/>
      <c r="E19" s="65" t="s">
        <v>139</v>
      </c>
      <c r="F19" s="66"/>
      <c r="G19" s="66"/>
      <c r="H19" s="66"/>
      <c r="I19" s="66"/>
      <c r="J19" s="66"/>
      <c r="K19" s="67"/>
      <c r="L19" s="54"/>
      <c r="M19" s="55"/>
      <c r="N19" s="54"/>
      <c r="O19" s="54"/>
      <c r="P19" s="55"/>
      <c r="Q19" s="54"/>
      <c r="R19" s="54"/>
      <c r="S19" s="56">
        <f>+S13+S18</f>
        <v>0</v>
      </c>
      <c r="T19" s="56">
        <f>+T13+T18</f>
        <v>0</v>
      </c>
      <c r="U19" s="56"/>
      <c r="V19" s="57"/>
      <c r="W19" s="57"/>
      <c r="X19" s="57"/>
      <c r="Y19" s="58"/>
      <c r="Z19" s="58"/>
      <c r="AA19" s="64">
        <f>+AA13+AA18</f>
        <v>0</v>
      </c>
      <c r="AB19" s="64">
        <f>+AB13+AB18</f>
        <v>0</v>
      </c>
      <c r="AC19" s="64">
        <f>+AC13+AC18</f>
        <v>0</v>
      </c>
      <c r="AD19" s="20"/>
    </row>
    <row r="20" spans="2:30" ht="24.9" customHeight="1" x14ac:dyDescent="0.3">
      <c r="AC20" s="35"/>
    </row>
    <row r="21" spans="2:30" ht="24.9" customHeight="1" x14ac:dyDescent="0.3"/>
    <row r="22" spans="2:30" ht="34.5" customHeight="1" x14ac:dyDescent="0.3">
      <c r="B22" s="60"/>
      <c r="C22" s="61"/>
      <c r="D22" s="61"/>
      <c r="E22" s="61"/>
    </row>
    <row r="23" spans="2:30" ht="45" customHeight="1" x14ac:dyDescent="0.3">
      <c r="B23" s="61"/>
      <c r="C23" s="62"/>
      <c r="D23" s="61"/>
      <c r="E23" s="61"/>
      <c r="AC23" s="35"/>
    </row>
    <row r="24" spans="2:30" ht="24.9" customHeight="1" x14ac:dyDescent="0.3"/>
    <row r="25" spans="2:30" ht="24.9" customHeight="1" x14ac:dyDescent="0.3"/>
    <row r="26" spans="2:30" ht="24.9" customHeight="1" x14ac:dyDescent="0.3"/>
    <row r="27" spans="2:30" ht="24.9" customHeight="1" x14ac:dyDescent="0.3"/>
    <row r="28" spans="2:30" ht="24.9" customHeight="1" x14ac:dyDescent="0.3"/>
    <row r="29" spans="2:30" ht="24.9" customHeight="1" x14ac:dyDescent="0.3"/>
  </sheetData>
  <mergeCells count="33">
    <mergeCell ref="B2:AC2"/>
    <mergeCell ref="B3:AC3"/>
    <mergeCell ref="B4:AC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D6:AD7"/>
    <mergeCell ref="E13:K13"/>
    <mergeCell ref="E18:K18"/>
    <mergeCell ref="Z6:Z7"/>
    <mergeCell ref="AA6:AC6"/>
    <mergeCell ref="M6:M7"/>
    <mergeCell ref="T6:T7"/>
    <mergeCell ref="N6:N7"/>
    <mergeCell ref="E19:K19"/>
    <mergeCell ref="U6:U7"/>
    <mergeCell ref="V6:V7"/>
    <mergeCell ref="X6:X7"/>
    <mergeCell ref="Y6:Y7"/>
    <mergeCell ref="O6:O7"/>
    <mergeCell ref="P6:P7"/>
    <mergeCell ref="Q6:Q7"/>
    <mergeCell ref="R6:R7"/>
    <mergeCell ref="S6:S7"/>
    <mergeCell ref="L6:L7"/>
    <mergeCell ref="W6:W7"/>
  </mergeCells>
  <conditionalFormatting sqref="J8">
    <cfRule type="duplicateValues" dxfId="9" priority="4"/>
  </conditionalFormatting>
  <conditionalFormatting sqref="J10">
    <cfRule type="duplicateValues" dxfId="8" priority="3"/>
  </conditionalFormatting>
  <conditionalFormatting sqref="J11">
    <cfRule type="duplicateValues" dxfId="7" priority="2"/>
  </conditionalFormatting>
  <conditionalFormatting sqref="K8:L12 N8:O12 Q8:R12 L14:L17 N14:O17 Q14:R17">
    <cfRule type="duplicateValues" dxfId="6" priority="5"/>
  </conditionalFormatting>
  <conditionalFormatting sqref="K14:K17">
    <cfRule type="duplicateValues" dxfId="5" priority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9" fitToHeight="0" orientation="landscape" r:id="rId1"/>
  <headerFooter>
    <oddFooter>&amp;L&amp;18Jirón Camaná 678 – Lima - Perú
T. (511) 514-5300
www.gob.pe/pvd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CBB5-1887-4840-B75D-A8A27B8B0DA6}">
  <sheetPr>
    <pageSetUpPr fitToPage="1"/>
  </sheetPr>
  <dimension ref="B1:O29"/>
  <sheetViews>
    <sheetView zoomScale="40" zoomScaleNormal="40" zoomScaleSheetLayoutView="70" zoomScalePageLayoutView="70" workbookViewId="0">
      <selection activeCell="F27" sqref="F27"/>
    </sheetView>
  </sheetViews>
  <sheetFormatPr baseColWidth="10" defaultColWidth="11.44140625" defaultRowHeight="14.4" x14ac:dyDescent="0.3"/>
  <cols>
    <col min="1" max="1" width="1.6640625" style="26" customWidth="1"/>
    <col min="2" max="2" width="6.88671875" style="26" customWidth="1"/>
    <col min="3" max="3" width="20.88671875" style="26" customWidth="1"/>
    <col min="4" max="4" width="35.88671875" style="26" customWidth="1"/>
    <col min="5" max="5" width="24.5546875" style="26" customWidth="1"/>
    <col min="6" max="6" width="20.88671875" style="26" customWidth="1"/>
    <col min="7" max="7" width="18.88671875" style="26" customWidth="1"/>
    <col min="8" max="8" width="34.109375" style="26" customWidth="1"/>
    <col min="9" max="9" width="22.109375" style="26" customWidth="1"/>
    <col min="10" max="10" width="21.44140625" style="26" customWidth="1"/>
    <col min="11" max="11" width="17" style="26" customWidth="1"/>
    <col min="12" max="12" width="25.109375" style="26" customWidth="1"/>
    <col min="13" max="13" width="29.6640625" style="26" customWidth="1"/>
    <col min="14" max="14" width="18.6640625" style="26" customWidth="1"/>
    <col min="15" max="15" width="29.33203125" style="26" hidden="1" customWidth="1"/>
    <col min="16" max="17" width="13.33203125" style="26" customWidth="1"/>
    <col min="18" max="16384" width="11.44140625" style="26"/>
  </cols>
  <sheetData>
    <row r="1" spans="2:15" ht="114.75" customHeight="1" x14ac:dyDescent="0.3"/>
    <row r="2" spans="2:15" ht="71.25" customHeight="1" x14ac:dyDescent="0.3">
      <c r="B2" s="73" t="s">
        <v>129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2:15" s="40" customFormat="1" ht="31.2" x14ac:dyDescent="0.3">
      <c r="B3" s="72" t="s">
        <v>14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2:15" s="40" customFormat="1" ht="58.2" customHeight="1" x14ac:dyDescent="0.3">
      <c r="B4" s="76" t="s">
        <v>135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</row>
    <row r="6" spans="2:15" s="43" customFormat="1" ht="41.25" customHeight="1" x14ac:dyDescent="0.3">
      <c r="B6" s="68" t="s">
        <v>9</v>
      </c>
      <c r="C6" s="68" t="s">
        <v>17</v>
      </c>
      <c r="D6" s="68" t="s">
        <v>1</v>
      </c>
      <c r="E6" s="68" t="s">
        <v>2</v>
      </c>
      <c r="F6" s="68" t="s">
        <v>3</v>
      </c>
      <c r="G6" s="68" t="s">
        <v>113</v>
      </c>
      <c r="H6" s="68" t="s">
        <v>114</v>
      </c>
      <c r="I6" s="68" t="s">
        <v>126</v>
      </c>
      <c r="J6" s="68" t="s">
        <v>132</v>
      </c>
      <c r="K6" s="74" t="s">
        <v>117</v>
      </c>
      <c r="L6" s="68" t="s">
        <v>136</v>
      </c>
      <c r="M6" s="68"/>
      <c r="N6" s="68"/>
      <c r="O6" s="68" t="s">
        <v>13</v>
      </c>
    </row>
    <row r="7" spans="2:15" s="43" customFormat="1" ht="69" customHeight="1" x14ac:dyDescent="0.3">
      <c r="B7" s="68"/>
      <c r="C7" s="68"/>
      <c r="D7" s="68"/>
      <c r="E7" s="68"/>
      <c r="F7" s="68"/>
      <c r="G7" s="68"/>
      <c r="H7" s="68"/>
      <c r="I7" s="68"/>
      <c r="J7" s="68"/>
      <c r="K7" s="75"/>
      <c r="L7" s="59" t="s">
        <v>118</v>
      </c>
      <c r="M7" s="59" t="s">
        <v>10</v>
      </c>
      <c r="N7" s="59" t="s">
        <v>7</v>
      </c>
      <c r="O7" s="68"/>
    </row>
    <row r="8" spans="2:15" ht="30" customHeight="1" x14ac:dyDescent="0.3">
      <c r="B8" s="27"/>
      <c r="C8" s="20"/>
      <c r="D8" s="20"/>
      <c r="E8" s="20"/>
      <c r="F8" s="20"/>
      <c r="G8" s="33"/>
      <c r="H8" s="20"/>
      <c r="I8" s="28"/>
      <c r="J8" s="29"/>
      <c r="K8" s="29"/>
      <c r="L8" s="27"/>
      <c r="M8" s="27"/>
      <c r="N8" s="27"/>
      <c r="O8" s="20"/>
    </row>
    <row r="9" spans="2:15" ht="30" customHeight="1" x14ac:dyDescent="0.3">
      <c r="B9" s="27"/>
      <c r="C9" s="20"/>
      <c r="D9" s="20"/>
      <c r="E9" s="20"/>
      <c r="F9" s="20"/>
      <c r="G9" s="33"/>
      <c r="H9" s="20"/>
      <c r="I9" s="28"/>
      <c r="J9" s="29"/>
      <c r="K9" s="29"/>
      <c r="L9" s="27"/>
      <c r="M9" s="27"/>
      <c r="N9" s="27"/>
      <c r="O9" s="20"/>
    </row>
    <row r="10" spans="2:15" ht="30" customHeight="1" x14ac:dyDescent="0.3">
      <c r="B10" s="27"/>
      <c r="C10" s="20"/>
      <c r="D10" s="20"/>
      <c r="E10" s="20"/>
      <c r="F10" s="20"/>
      <c r="G10" s="33"/>
      <c r="H10" s="20"/>
      <c r="I10" s="28"/>
      <c r="J10" s="29"/>
      <c r="K10" s="29"/>
      <c r="L10" s="27"/>
      <c r="M10" s="27"/>
      <c r="N10" s="27"/>
      <c r="O10" s="20"/>
    </row>
    <row r="11" spans="2:15" ht="30" customHeight="1" x14ac:dyDescent="0.3">
      <c r="B11" s="27"/>
      <c r="C11" s="20"/>
      <c r="D11" s="20"/>
      <c r="E11" s="20"/>
      <c r="F11" s="20"/>
      <c r="G11" s="33"/>
      <c r="H11" s="20"/>
      <c r="I11" s="28"/>
      <c r="J11" s="29"/>
      <c r="K11" s="29"/>
      <c r="L11" s="27"/>
      <c r="M11" s="27"/>
      <c r="N11" s="27"/>
      <c r="O11" s="20"/>
    </row>
    <row r="12" spans="2:15" s="39" customFormat="1" ht="30" customHeight="1" x14ac:dyDescent="0.3">
      <c r="B12" s="36"/>
      <c r="C12" s="33"/>
      <c r="D12" s="33"/>
      <c r="E12" s="33"/>
      <c r="F12" s="33"/>
      <c r="G12" s="33"/>
      <c r="H12" s="33"/>
      <c r="I12" s="38"/>
      <c r="J12" s="34"/>
      <c r="K12" s="34"/>
      <c r="L12" s="36"/>
      <c r="M12" s="36"/>
      <c r="N12" s="36"/>
      <c r="O12" s="33"/>
    </row>
    <row r="13" spans="2:15" ht="30" customHeight="1" x14ac:dyDescent="0.3">
      <c r="B13" s="41"/>
      <c r="C13" s="41"/>
      <c r="D13" s="69" t="s">
        <v>137</v>
      </c>
      <c r="E13" s="70"/>
      <c r="F13" s="70"/>
      <c r="G13" s="70"/>
      <c r="H13" s="71"/>
      <c r="I13" s="46">
        <f>SUM(I8:I12)</f>
        <v>0</v>
      </c>
      <c r="J13" s="48"/>
      <c r="K13" s="48"/>
      <c r="L13" s="63">
        <f>SUM(L8:L12)</f>
        <v>0</v>
      </c>
      <c r="M13" s="63">
        <f t="shared" ref="M13:N13" si="0">SUM(M8:M12)</f>
        <v>0</v>
      </c>
      <c r="N13" s="63">
        <f t="shared" si="0"/>
        <v>0</v>
      </c>
      <c r="O13" s="20"/>
    </row>
    <row r="14" spans="2:15" s="39" customFormat="1" ht="30" customHeight="1" x14ac:dyDescent="0.3">
      <c r="B14" s="36"/>
      <c r="C14" s="33"/>
      <c r="D14" s="49"/>
      <c r="E14" s="49"/>
      <c r="F14" s="49"/>
      <c r="G14" s="49"/>
      <c r="H14" s="49"/>
      <c r="I14" s="51"/>
      <c r="J14" s="52"/>
      <c r="K14" s="52"/>
      <c r="L14" s="53"/>
      <c r="M14" s="53"/>
      <c r="N14" s="53"/>
      <c r="O14" s="33"/>
    </row>
    <row r="15" spans="2:15" s="39" customFormat="1" ht="30" customHeight="1" x14ac:dyDescent="0.3">
      <c r="B15" s="36"/>
      <c r="C15" s="33"/>
      <c r="D15" s="49"/>
      <c r="E15" s="49"/>
      <c r="F15" s="49"/>
      <c r="G15" s="49"/>
      <c r="H15" s="49"/>
      <c r="I15" s="51"/>
      <c r="J15" s="52"/>
      <c r="K15" s="52"/>
      <c r="L15" s="53"/>
      <c r="M15" s="53"/>
      <c r="N15" s="53"/>
      <c r="O15" s="33"/>
    </row>
    <row r="16" spans="2:15" s="39" customFormat="1" ht="30" customHeight="1" x14ac:dyDescent="0.3">
      <c r="B16" s="36"/>
      <c r="C16" s="33"/>
      <c r="D16" s="49"/>
      <c r="E16" s="49"/>
      <c r="F16" s="49"/>
      <c r="G16" s="49"/>
      <c r="H16" s="49"/>
      <c r="I16" s="51"/>
      <c r="J16" s="52"/>
      <c r="K16" s="52"/>
      <c r="L16" s="53"/>
      <c r="M16" s="53"/>
      <c r="N16" s="53"/>
      <c r="O16" s="33"/>
    </row>
    <row r="17" spans="2:15" s="39" customFormat="1" ht="30" customHeight="1" x14ac:dyDescent="0.3">
      <c r="B17" s="36"/>
      <c r="C17" s="33"/>
      <c r="D17" s="49"/>
      <c r="E17" s="49"/>
      <c r="F17" s="49"/>
      <c r="G17" s="49"/>
      <c r="H17" s="49"/>
      <c r="I17" s="51"/>
      <c r="J17" s="52"/>
      <c r="K17" s="52"/>
      <c r="L17" s="53"/>
      <c r="M17" s="53"/>
      <c r="N17" s="53"/>
      <c r="O17" s="33"/>
    </row>
    <row r="18" spans="2:15" ht="30" customHeight="1" x14ac:dyDescent="0.3">
      <c r="B18" s="41"/>
      <c r="C18" s="41"/>
      <c r="D18" s="69" t="s">
        <v>138</v>
      </c>
      <c r="E18" s="70"/>
      <c r="F18" s="70"/>
      <c r="G18" s="70"/>
      <c r="H18" s="71"/>
      <c r="I18" s="46">
        <f>SUM(I14:I17)</f>
        <v>0</v>
      </c>
      <c r="J18" s="48"/>
      <c r="K18" s="48"/>
      <c r="L18" s="63">
        <f>SUM(L14:L17)</f>
        <v>0</v>
      </c>
      <c r="M18" s="63">
        <f t="shared" ref="M18:N18" si="1">SUM(M14:M17)</f>
        <v>0</v>
      </c>
      <c r="N18" s="63">
        <f t="shared" si="1"/>
        <v>0</v>
      </c>
      <c r="O18" s="20"/>
    </row>
    <row r="19" spans="2:15" ht="30" customHeight="1" x14ac:dyDescent="0.3">
      <c r="B19" s="30"/>
      <c r="C19" s="30"/>
      <c r="D19" s="65" t="s">
        <v>139</v>
      </c>
      <c r="E19" s="66"/>
      <c r="F19" s="66"/>
      <c r="G19" s="66"/>
      <c r="H19" s="67"/>
      <c r="I19" s="56">
        <f>+I13+I18</f>
        <v>0</v>
      </c>
      <c r="J19" s="58"/>
      <c r="K19" s="58"/>
      <c r="L19" s="64">
        <f>+L13+L18</f>
        <v>0</v>
      </c>
      <c r="M19" s="64">
        <f>+M13+M18</f>
        <v>0</v>
      </c>
      <c r="N19" s="64">
        <f>+N13+N18</f>
        <v>0</v>
      </c>
      <c r="O19" s="20"/>
    </row>
    <row r="20" spans="2:15" ht="24.9" customHeight="1" x14ac:dyDescent="0.3">
      <c r="N20" s="35"/>
    </row>
    <row r="21" spans="2:15" ht="24.9" customHeight="1" x14ac:dyDescent="0.3"/>
    <row r="22" spans="2:15" ht="34.5" customHeight="1" x14ac:dyDescent="0.3">
      <c r="B22" s="60"/>
      <c r="C22" s="61"/>
      <c r="D22" s="61"/>
    </row>
    <row r="23" spans="2:15" ht="45" customHeight="1" x14ac:dyDescent="0.3">
      <c r="B23" s="61"/>
      <c r="C23" s="61"/>
      <c r="D23" s="61"/>
      <c r="N23" s="35"/>
    </row>
    <row r="24" spans="2:15" ht="24.9" customHeight="1" x14ac:dyDescent="0.3"/>
    <row r="25" spans="2:15" ht="24.9" customHeight="1" x14ac:dyDescent="0.3"/>
    <row r="26" spans="2:15" ht="24.9" customHeight="1" x14ac:dyDescent="0.3"/>
    <row r="27" spans="2:15" ht="24.9" customHeight="1" x14ac:dyDescent="0.3"/>
    <row r="28" spans="2:15" ht="24.9" customHeight="1" x14ac:dyDescent="0.3"/>
    <row r="29" spans="2:15" ht="24.9" customHeight="1" x14ac:dyDescent="0.3"/>
  </sheetData>
  <mergeCells count="18">
    <mergeCell ref="B2:N2"/>
    <mergeCell ref="B3:N3"/>
    <mergeCell ref="B4:N4"/>
    <mergeCell ref="B6:B7"/>
    <mergeCell ref="C6:C7"/>
    <mergeCell ref="D6:D7"/>
    <mergeCell ref="E6:E7"/>
    <mergeCell ref="F6:F7"/>
    <mergeCell ref="O6:O7"/>
    <mergeCell ref="D13:H13"/>
    <mergeCell ref="D18:H18"/>
    <mergeCell ref="D19:H19"/>
    <mergeCell ref="J6:J7"/>
    <mergeCell ref="K6:K7"/>
    <mergeCell ref="L6:N6"/>
    <mergeCell ref="I6:I7"/>
    <mergeCell ref="G6:G7"/>
    <mergeCell ref="H6:H7"/>
  </mergeCells>
  <conditionalFormatting sqref="H8:H12 H14:H17">
    <cfRule type="duplicateValues" dxfId="4" priority="60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8" fitToHeight="0" orientation="landscape" r:id="rId1"/>
  <headerFooter>
    <oddFooter>&amp;L&amp;18Jirón Camaná 678 – Lima - Perú
T. (511) 514-5300
www.gob.pe/pvd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A7B4-0C98-4EEC-B732-7710460F2BEB}">
  <sheetPr>
    <pageSetUpPr fitToPage="1"/>
  </sheetPr>
  <dimension ref="B1:N29"/>
  <sheetViews>
    <sheetView zoomScale="40" zoomScaleNormal="40" zoomScaleSheetLayoutView="80" zoomScalePageLayoutView="70" workbookViewId="0">
      <selection activeCell="I23" sqref="I23"/>
    </sheetView>
  </sheetViews>
  <sheetFormatPr baseColWidth="10" defaultColWidth="11.44140625" defaultRowHeight="14.4" x14ac:dyDescent="0.3"/>
  <cols>
    <col min="1" max="1" width="1.6640625" style="26" customWidth="1"/>
    <col min="2" max="2" width="6.88671875" style="26" customWidth="1"/>
    <col min="3" max="3" width="20.88671875" style="26" customWidth="1"/>
    <col min="4" max="4" width="35.88671875" style="26" customWidth="1"/>
    <col min="5" max="5" width="24.5546875" style="26" customWidth="1"/>
    <col min="6" max="6" width="20.88671875" style="26" customWidth="1"/>
    <col min="7" max="7" width="18.88671875" style="26" customWidth="1"/>
    <col min="8" max="8" width="34.109375" style="26" customWidth="1"/>
    <col min="9" max="9" width="22.109375" style="26" customWidth="1"/>
    <col min="10" max="10" width="21.44140625" style="26" customWidth="1"/>
    <col min="11" max="11" width="25.109375" style="26" customWidth="1"/>
    <col min="12" max="12" width="29.6640625" style="26" customWidth="1"/>
    <col min="13" max="13" width="18.6640625" style="26" customWidth="1"/>
    <col min="14" max="14" width="29.33203125" style="26" hidden="1" customWidth="1"/>
    <col min="15" max="16" width="13.33203125" style="26" customWidth="1"/>
    <col min="17" max="16384" width="11.44140625" style="26"/>
  </cols>
  <sheetData>
    <row r="1" spans="2:14" ht="114.75" customHeight="1" x14ac:dyDescent="0.3"/>
    <row r="2" spans="2:14" ht="71.25" customHeight="1" x14ac:dyDescent="0.3">
      <c r="B2" s="73" t="s">
        <v>129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2:14" s="40" customFormat="1" ht="31.2" x14ac:dyDescent="0.3">
      <c r="B3" s="72" t="s">
        <v>14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2:14" s="40" customFormat="1" ht="60" customHeight="1" x14ac:dyDescent="0.3">
      <c r="B4" s="76" t="s">
        <v>134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</row>
    <row r="6" spans="2:14" s="43" customFormat="1" ht="41.25" customHeight="1" x14ac:dyDescent="0.3">
      <c r="B6" s="68" t="s">
        <v>9</v>
      </c>
      <c r="C6" s="68" t="s">
        <v>17</v>
      </c>
      <c r="D6" s="68" t="s">
        <v>1</v>
      </c>
      <c r="E6" s="68" t="s">
        <v>2</v>
      </c>
      <c r="F6" s="68" t="s">
        <v>3</v>
      </c>
      <c r="G6" s="68" t="s">
        <v>113</v>
      </c>
      <c r="H6" s="68" t="s">
        <v>114</v>
      </c>
      <c r="I6" s="68" t="s">
        <v>126</v>
      </c>
      <c r="J6" s="68" t="s">
        <v>128</v>
      </c>
      <c r="K6" s="68" t="s">
        <v>136</v>
      </c>
      <c r="L6" s="68"/>
      <c r="M6" s="68"/>
      <c r="N6" s="68" t="s">
        <v>13</v>
      </c>
    </row>
    <row r="7" spans="2:14" s="43" customFormat="1" ht="69" customHeight="1" x14ac:dyDescent="0.3">
      <c r="B7" s="68"/>
      <c r="C7" s="68"/>
      <c r="D7" s="68"/>
      <c r="E7" s="68"/>
      <c r="F7" s="68"/>
      <c r="G7" s="68"/>
      <c r="H7" s="68"/>
      <c r="I7" s="68"/>
      <c r="J7" s="68"/>
      <c r="K7" s="59" t="s">
        <v>118</v>
      </c>
      <c r="L7" s="59" t="s">
        <v>130</v>
      </c>
      <c r="M7" s="59" t="s">
        <v>7</v>
      </c>
      <c r="N7" s="68"/>
    </row>
    <row r="8" spans="2:14" ht="30" customHeight="1" x14ac:dyDescent="0.3">
      <c r="B8" s="27"/>
      <c r="C8" s="20"/>
      <c r="D8" s="20"/>
      <c r="E8" s="20"/>
      <c r="F8" s="20"/>
      <c r="G8" s="33"/>
      <c r="H8" s="20"/>
      <c r="I8" s="28"/>
      <c r="J8" s="29"/>
      <c r="K8" s="27"/>
      <c r="L8" s="27"/>
      <c r="M8" s="27"/>
      <c r="N8" s="20"/>
    </row>
    <row r="9" spans="2:14" ht="30" customHeight="1" x14ac:dyDescent="0.3">
      <c r="B9" s="27"/>
      <c r="C9" s="20"/>
      <c r="D9" s="20"/>
      <c r="E9" s="20"/>
      <c r="F9" s="20"/>
      <c r="G9" s="33"/>
      <c r="H9" s="20"/>
      <c r="I9" s="28"/>
      <c r="J9" s="29"/>
      <c r="K9" s="27"/>
      <c r="L9" s="27"/>
      <c r="M9" s="27"/>
      <c r="N9" s="20"/>
    </row>
    <row r="10" spans="2:14" ht="30" customHeight="1" x14ac:dyDescent="0.3">
      <c r="B10" s="27"/>
      <c r="C10" s="20"/>
      <c r="D10" s="20"/>
      <c r="E10" s="20"/>
      <c r="F10" s="20"/>
      <c r="G10" s="33"/>
      <c r="H10" s="20"/>
      <c r="I10" s="28"/>
      <c r="J10" s="29"/>
      <c r="K10" s="27"/>
      <c r="L10" s="27"/>
      <c r="M10" s="27"/>
      <c r="N10" s="20"/>
    </row>
    <row r="11" spans="2:14" ht="30" customHeight="1" x14ac:dyDescent="0.3">
      <c r="B11" s="27"/>
      <c r="C11" s="20"/>
      <c r="D11" s="20"/>
      <c r="E11" s="20"/>
      <c r="F11" s="20"/>
      <c r="G11" s="33"/>
      <c r="H11" s="20"/>
      <c r="I11" s="28"/>
      <c r="J11" s="29"/>
      <c r="K11" s="27"/>
      <c r="L11" s="27"/>
      <c r="M11" s="27"/>
      <c r="N11" s="20"/>
    </row>
    <row r="12" spans="2:14" s="39" customFormat="1" ht="30" customHeight="1" x14ac:dyDescent="0.3">
      <c r="B12" s="36"/>
      <c r="C12" s="33"/>
      <c r="D12" s="33"/>
      <c r="E12" s="33"/>
      <c r="F12" s="33"/>
      <c r="G12" s="33"/>
      <c r="H12" s="33"/>
      <c r="I12" s="38"/>
      <c r="J12" s="34"/>
      <c r="K12" s="36"/>
      <c r="L12" s="36"/>
      <c r="M12" s="36"/>
      <c r="N12" s="33"/>
    </row>
    <row r="13" spans="2:14" ht="30" customHeight="1" x14ac:dyDescent="0.3">
      <c r="B13" s="41"/>
      <c r="C13" s="41"/>
      <c r="D13" s="69" t="s">
        <v>137</v>
      </c>
      <c r="E13" s="70"/>
      <c r="F13" s="70"/>
      <c r="G13" s="70"/>
      <c r="H13" s="71"/>
      <c r="I13" s="46">
        <f>SUM(I8:I12)</f>
        <v>0</v>
      </c>
      <c r="J13" s="48"/>
      <c r="K13" s="63">
        <f>SUM(K8:K12)</f>
        <v>0</v>
      </c>
      <c r="L13" s="63">
        <f t="shared" ref="L13:M13" si="0">SUM(L8:L12)</f>
        <v>0</v>
      </c>
      <c r="M13" s="63">
        <f t="shared" si="0"/>
        <v>0</v>
      </c>
      <c r="N13" s="20"/>
    </row>
    <row r="14" spans="2:14" s="39" customFormat="1" ht="30" customHeight="1" x14ac:dyDescent="0.3">
      <c r="B14" s="36"/>
      <c r="C14" s="33"/>
      <c r="D14" s="49"/>
      <c r="E14" s="49"/>
      <c r="F14" s="49"/>
      <c r="G14" s="49"/>
      <c r="H14" s="49"/>
      <c r="I14" s="51"/>
      <c r="J14" s="52"/>
      <c r="K14" s="53"/>
      <c r="L14" s="53"/>
      <c r="M14" s="53"/>
      <c r="N14" s="33"/>
    </row>
    <row r="15" spans="2:14" s="39" customFormat="1" ht="30" customHeight="1" x14ac:dyDescent="0.3">
      <c r="B15" s="36"/>
      <c r="C15" s="33"/>
      <c r="D15" s="49"/>
      <c r="E15" s="49"/>
      <c r="F15" s="49"/>
      <c r="G15" s="49"/>
      <c r="H15" s="49"/>
      <c r="I15" s="51"/>
      <c r="J15" s="52"/>
      <c r="K15" s="53"/>
      <c r="L15" s="53"/>
      <c r="M15" s="53"/>
      <c r="N15" s="33"/>
    </row>
    <row r="16" spans="2:14" s="39" customFormat="1" ht="30" customHeight="1" x14ac:dyDescent="0.3">
      <c r="B16" s="36"/>
      <c r="C16" s="33"/>
      <c r="D16" s="49"/>
      <c r="E16" s="49"/>
      <c r="F16" s="49"/>
      <c r="G16" s="49"/>
      <c r="H16" s="49"/>
      <c r="I16" s="51"/>
      <c r="J16" s="52"/>
      <c r="K16" s="53"/>
      <c r="L16" s="53"/>
      <c r="M16" s="53"/>
      <c r="N16" s="33"/>
    </row>
    <row r="17" spans="2:14" s="39" customFormat="1" ht="30" customHeight="1" x14ac:dyDescent="0.3">
      <c r="B17" s="36"/>
      <c r="C17" s="33"/>
      <c r="D17" s="49"/>
      <c r="E17" s="49"/>
      <c r="F17" s="49"/>
      <c r="G17" s="49"/>
      <c r="H17" s="49"/>
      <c r="I17" s="51"/>
      <c r="J17" s="52"/>
      <c r="K17" s="53"/>
      <c r="L17" s="53"/>
      <c r="M17" s="53"/>
      <c r="N17" s="33"/>
    </row>
    <row r="18" spans="2:14" ht="30" customHeight="1" x14ac:dyDescent="0.3">
      <c r="B18" s="41"/>
      <c r="C18" s="41"/>
      <c r="D18" s="69" t="s">
        <v>138</v>
      </c>
      <c r="E18" s="70"/>
      <c r="F18" s="70"/>
      <c r="G18" s="70"/>
      <c r="H18" s="71"/>
      <c r="I18" s="46">
        <f>SUM(I14:I17)</f>
        <v>0</v>
      </c>
      <c r="J18" s="48"/>
      <c r="K18" s="63">
        <f>SUM(K14:K17)</f>
        <v>0</v>
      </c>
      <c r="L18" s="63">
        <f t="shared" ref="L18:M18" si="1">SUM(L14:L17)</f>
        <v>0</v>
      </c>
      <c r="M18" s="63">
        <f t="shared" si="1"/>
        <v>0</v>
      </c>
      <c r="N18" s="20"/>
    </row>
    <row r="19" spans="2:14" ht="30" customHeight="1" x14ac:dyDescent="0.3">
      <c r="B19" s="30"/>
      <c r="C19" s="30"/>
      <c r="D19" s="65" t="s">
        <v>139</v>
      </c>
      <c r="E19" s="66"/>
      <c r="F19" s="66"/>
      <c r="G19" s="66"/>
      <c r="H19" s="67"/>
      <c r="I19" s="56">
        <f>+I13+I18</f>
        <v>0</v>
      </c>
      <c r="J19" s="58"/>
      <c r="K19" s="64">
        <f>+K13+K18</f>
        <v>0</v>
      </c>
      <c r="L19" s="64">
        <f>+L13+L18</f>
        <v>0</v>
      </c>
      <c r="M19" s="64">
        <f>+M13+M18</f>
        <v>0</v>
      </c>
      <c r="N19" s="20"/>
    </row>
    <row r="20" spans="2:14" ht="24.9" customHeight="1" x14ac:dyDescent="0.3">
      <c r="M20" s="35"/>
    </row>
    <row r="21" spans="2:14" ht="24.9" customHeight="1" x14ac:dyDescent="0.3"/>
    <row r="22" spans="2:14" ht="34.5" customHeight="1" x14ac:dyDescent="0.3">
      <c r="B22" s="60"/>
      <c r="C22" s="61"/>
      <c r="D22" s="61"/>
    </row>
    <row r="23" spans="2:14" ht="45" customHeight="1" x14ac:dyDescent="0.3">
      <c r="B23" s="61"/>
      <c r="C23" s="61"/>
      <c r="D23" s="61"/>
      <c r="M23" s="35"/>
    </row>
    <row r="24" spans="2:14" ht="24.9" customHeight="1" x14ac:dyDescent="0.3"/>
    <row r="25" spans="2:14" ht="24.9" customHeight="1" x14ac:dyDescent="0.3"/>
    <row r="26" spans="2:14" ht="24.9" customHeight="1" x14ac:dyDescent="0.3"/>
    <row r="27" spans="2:14" ht="24.9" customHeight="1" x14ac:dyDescent="0.3"/>
    <row r="28" spans="2:14" ht="24.9" customHeight="1" x14ac:dyDescent="0.3"/>
    <row r="29" spans="2:14" ht="24.9" customHeight="1" x14ac:dyDescent="0.3"/>
  </sheetData>
  <mergeCells count="17">
    <mergeCell ref="F6:F7"/>
    <mergeCell ref="N6:N7"/>
    <mergeCell ref="D13:H13"/>
    <mergeCell ref="D18:H18"/>
    <mergeCell ref="D19:H19"/>
    <mergeCell ref="B2:N2"/>
    <mergeCell ref="B4:N4"/>
    <mergeCell ref="J6:J7"/>
    <mergeCell ref="K6:M6"/>
    <mergeCell ref="I6:I7"/>
    <mergeCell ref="G6:G7"/>
    <mergeCell ref="H6:H7"/>
    <mergeCell ref="B3:M3"/>
    <mergeCell ref="B6:B7"/>
    <mergeCell ref="C6:C7"/>
    <mergeCell ref="D6:D7"/>
    <mergeCell ref="E6:E7"/>
  </mergeCells>
  <conditionalFormatting sqref="H8:H12">
    <cfRule type="duplicateValues" dxfId="3" priority="62"/>
  </conditionalFormatting>
  <conditionalFormatting sqref="H14:H17">
    <cfRule type="duplicateValues" dxfId="2" priority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51" fitToHeight="0" orientation="landscape" r:id="rId1"/>
  <headerFooter>
    <oddFooter>&amp;L&amp;18Jirón Camaná 678 – Lima - Perú
T. (511) 514-5300
www.gob.pe/pvd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BCAA-0A51-4CD3-B947-9E4FC2D1E049}">
  <sheetPr>
    <tabColor rgb="FFFFFF00"/>
    <pageSetUpPr fitToPage="1"/>
  </sheetPr>
  <dimension ref="B1:N51"/>
  <sheetViews>
    <sheetView view="pageBreakPreview" topLeftCell="A4" zoomScale="70" zoomScaleNormal="60" zoomScaleSheetLayoutView="70" workbookViewId="0">
      <selection activeCell="G14" sqref="G14"/>
    </sheetView>
  </sheetViews>
  <sheetFormatPr baseColWidth="10" defaultRowHeight="33" customHeight="1" x14ac:dyDescent="0.3"/>
  <cols>
    <col min="1" max="2" width="5.6640625" customWidth="1"/>
    <col min="3" max="3" width="26.6640625" customWidth="1"/>
    <col min="4" max="4" width="19.88671875" customWidth="1"/>
    <col min="5" max="5" width="19.5546875" customWidth="1"/>
    <col min="6" max="6" width="14" customWidth="1"/>
    <col min="7" max="7" width="75.109375" customWidth="1"/>
    <col min="8" max="8" width="17" style="7" customWidth="1"/>
    <col min="9" max="9" width="20" customWidth="1"/>
    <col min="10" max="10" width="15.109375" customWidth="1"/>
    <col min="11" max="11" width="13.88671875" hidden="1" customWidth="1"/>
    <col min="12" max="12" width="20.44140625" customWidth="1"/>
    <col min="13" max="13" width="21.33203125" customWidth="1"/>
    <col min="14" max="14" width="22.6640625" customWidth="1"/>
    <col min="15" max="15" width="19.33203125" customWidth="1"/>
    <col min="16" max="17" width="14.6640625" bestFit="1" customWidth="1"/>
    <col min="21" max="21" width="12.33203125" bestFit="1" customWidth="1"/>
    <col min="24" max="24" width="12.33203125" bestFit="1" customWidth="1"/>
    <col min="27" max="27" width="12.33203125" bestFit="1" customWidth="1"/>
  </cols>
  <sheetData>
    <row r="1" spans="2:14" ht="28.5" customHeight="1" x14ac:dyDescent="0.3">
      <c r="B1" s="1"/>
      <c r="C1" s="8"/>
      <c r="D1" s="8"/>
      <c r="E1" s="9"/>
      <c r="F1" s="1"/>
      <c r="G1" s="1"/>
      <c r="H1" s="24"/>
      <c r="I1" s="1"/>
      <c r="J1" s="1"/>
      <c r="K1" s="1"/>
      <c r="L1" s="1"/>
      <c r="M1" s="6"/>
      <c r="N1" s="6"/>
    </row>
    <row r="2" spans="2:14" ht="28.5" customHeight="1" x14ac:dyDescent="0.3">
      <c r="B2" s="1"/>
      <c r="C2" s="8"/>
      <c r="D2" s="8"/>
      <c r="E2" s="9"/>
      <c r="F2" s="1"/>
      <c r="G2" s="1"/>
      <c r="H2" s="24"/>
      <c r="I2" s="1"/>
      <c r="J2" s="1"/>
      <c r="K2" s="1"/>
      <c r="L2" s="1"/>
      <c r="M2" s="6"/>
      <c r="N2" s="6"/>
    </row>
    <row r="3" spans="2:14" ht="28.5" customHeight="1" x14ac:dyDescent="0.3">
      <c r="B3" s="81"/>
      <c r="C3" s="81"/>
      <c r="D3" s="81"/>
      <c r="E3" s="81"/>
      <c r="F3" s="81"/>
      <c r="G3" s="81"/>
      <c r="H3" s="81"/>
      <c r="I3" s="1"/>
      <c r="J3" s="1"/>
      <c r="K3" s="1"/>
      <c r="L3" s="1"/>
      <c r="M3" s="6"/>
      <c r="N3" s="6"/>
    </row>
    <row r="4" spans="2:14" ht="44.25" customHeight="1" x14ac:dyDescent="0.3">
      <c r="B4" s="82" t="s">
        <v>108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</row>
    <row r="5" spans="2:14" ht="28.5" customHeight="1" x14ac:dyDescent="0.3">
      <c r="B5" s="84" t="s">
        <v>14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</row>
    <row r="6" spans="2:14" ht="28.5" customHeight="1" x14ac:dyDescent="0.3">
      <c r="B6" s="84" t="s">
        <v>107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</row>
    <row r="7" spans="2:14" ht="28.5" customHeight="1" x14ac:dyDescent="0.3">
      <c r="B7" s="84" t="s">
        <v>109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</row>
    <row r="8" spans="2:14" s="1" customFormat="1" ht="22.2" hidden="1" thickTop="1" thickBot="1" x14ac:dyDescent="0.45">
      <c r="C8" s="2"/>
      <c r="D8" s="2"/>
      <c r="E8" s="2"/>
      <c r="F8" s="2"/>
      <c r="G8" s="10" t="s">
        <v>8</v>
      </c>
      <c r="H8" s="11">
        <v>8</v>
      </c>
      <c r="I8" s="2"/>
      <c r="J8" s="4"/>
      <c r="K8" s="4"/>
      <c r="L8" s="4"/>
      <c r="M8" s="4"/>
      <c r="N8" s="4"/>
    </row>
    <row r="9" spans="2:14" s="1" customFormat="1" ht="18.75" customHeight="1" x14ac:dyDescent="0.4">
      <c r="C9" s="2"/>
      <c r="D9" s="2"/>
      <c r="E9" s="2"/>
      <c r="F9" s="2"/>
      <c r="G9" s="3"/>
      <c r="H9" s="12"/>
      <c r="I9" s="2"/>
      <c r="J9" s="4"/>
      <c r="K9" s="4"/>
      <c r="L9" s="4"/>
      <c r="M9" s="4"/>
      <c r="N9" s="4"/>
    </row>
    <row r="10" spans="2:14" s="5" customFormat="1" ht="31.5" customHeight="1" x14ac:dyDescent="0.3">
      <c r="B10" s="80" t="s">
        <v>9</v>
      </c>
      <c r="C10" s="80" t="s">
        <v>1</v>
      </c>
      <c r="D10" s="80" t="s">
        <v>2</v>
      </c>
      <c r="E10" s="80" t="s">
        <v>3</v>
      </c>
      <c r="F10" s="80" t="s">
        <v>11</v>
      </c>
      <c r="G10" s="80" t="s">
        <v>18</v>
      </c>
      <c r="H10" s="80" t="s">
        <v>16</v>
      </c>
      <c r="I10" s="80" t="s">
        <v>4</v>
      </c>
      <c r="J10" s="80" t="s">
        <v>12</v>
      </c>
      <c r="K10" s="80" t="s">
        <v>15</v>
      </c>
      <c r="L10" s="80" t="s">
        <v>110</v>
      </c>
      <c r="M10" s="80"/>
      <c r="N10" s="80"/>
    </row>
    <row r="11" spans="2:14" s="5" customFormat="1" ht="36" x14ac:dyDescent="0.3"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25" t="s">
        <v>6</v>
      </c>
      <c r="M11" s="25" t="s">
        <v>10</v>
      </c>
      <c r="N11" s="25" t="s">
        <v>7</v>
      </c>
    </row>
    <row r="12" spans="2:14" s="5" customFormat="1" ht="18" x14ac:dyDescent="0.3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2:14" ht="33" customHeight="1" x14ac:dyDescent="0.3">
      <c r="B13" s="18">
        <v>1</v>
      </c>
      <c r="C13" s="19" t="s">
        <v>19</v>
      </c>
      <c r="D13" s="20" t="s">
        <v>20</v>
      </c>
      <c r="E13" s="20" t="s">
        <v>20</v>
      </c>
      <c r="F13" s="20" t="s">
        <v>21</v>
      </c>
      <c r="G13" s="20" t="s">
        <v>22</v>
      </c>
      <c r="H13" s="21">
        <v>3.6949999999999998</v>
      </c>
      <c r="I13" s="19" t="s">
        <v>5</v>
      </c>
      <c r="J13" s="22">
        <v>735</v>
      </c>
      <c r="K13" s="18">
        <v>21727</v>
      </c>
      <c r="L13" s="18">
        <f>+ROUND(H13*J13*8,0)</f>
        <v>21727</v>
      </c>
      <c r="M13" s="18">
        <v>2173</v>
      </c>
      <c r="N13" s="18">
        <f t="shared" ref="N13:N50" si="0">+L13+M13</f>
        <v>23900</v>
      </c>
    </row>
    <row r="14" spans="2:14" ht="33" customHeight="1" x14ac:dyDescent="0.3">
      <c r="B14" s="18">
        <v>2</v>
      </c>
      <c r="C14" s="19" t="s">
        <v>19</v>
      </c>
      <c r="D14" s="20" t="s">
        <v>20</v>
      </c>
      <c r="E14" s="20" t="s">
        <v>20</v>
      </c>
      <c r="F14" s="20" t="s">
        <v>23</v>
      </c>
      <c r="G14" s="20" t="s">
        <v>24</v>
      </c>
      <c r="H14" s="21">
        <v>21.2</v>
      </c>
      <c r="I14" s="19" t="s">
        <v>5</v>
      </c>
      <c r="J14" s="22">
        <v>735</v>
      </c>
      <c r="K14" s="18">
        <v>124656</v>
      </c>
      <c r="L14" s="18">
        <f>+ROUND(H14*J14*8,0)</f>
        <v>124656</v>
      </c>
      <c r="M14" s="18">
        <v>12466</v>
      </c>
      <c r="N14" s="18">
        <f t="shared" si="0"/>
        <v>137122</v>
      </c>
    </row>
    <row r="15" spans="2:14" ht="33" customHeight="1" x14ac:dyDescent="0.3">
      <c r="B15" s="18">
        <v>3</v>
      </c>
      <c r="C15" s="19" t="s">
        <v>19</v>
      </c>
      <c r="D15" s="20" t="s">
        <v>20</v>
      </c>
      <c r="E15" s="20" t="s">
        <v>20</v>
      </c>
      <c r="F15" s="20" t="s">
        <v>25</v>
      </c>
      <c r="G15" s="20" t="s">
        <v>26</v>
      </c>
      <c r="H15" s="21">
        <v>2.2120000000000002</v>
      </c>
      <c r="I15" s="19" t="s">
        <v>5</v>
      </c>
      <c r="J15" s="22">
        <v>735</v>
      </c>
      <c r="K15" s="18">
        <v>13007</v>
      </c>
      <c r="L15" s="18">
        <f>+ROUND(H15*J15*8,0)</f>
        <v>13007</v>
      </c>
      <c r="M15" s="18">
        <v>1301</v>
      </c>
      <c r="N15" s="18">
        <f t="shared" si="0"/>
        <v>14308</v>
      </c>
    </row>
    <row r="16" spans="2:14" ht="33" customHeight="1" x14ac:dyDescent="0.3">
      <c r="B16" s="13"/>
      <c r="C16" s="77" t="s">
        <v>100</v>
      </c>
      <c r="D16" s="78"/>
      <c r="E16" s="78"/>
      <c r="F16" s="78"/>
      <c r="G16" s="79"/>
      <c r="H16" s="14">
        <v>27.106999999999999</v>
      </c>
      <c r="I16" s="15"/>
      <c r="J16" s="16"/>
      <c r="K16" s="17">
        <v>159390</v>
      </c>
      <c r="L16" s="17">
        <f>SUM(L13:L15)</f>
        <v>159390</v>
      </c>
      <c r="M16" s="17">
        <f>SUM(M13:M15)</f>
        <v>15940</v>
      </c>
      <c r="N16" s="17">
        <f>SUM(N13:N15)</f>
        <v>175330</v>
      </c>
    </row>
    <row r="17" spans="2:14" ht="33" customHeight="1" x14ac:dyDescent="0.3">
      <c r="B17" s="18">
        <v>1</v>
      </c>
      <c r="C17" s="19" t="s">
        <v>19</v>
      </c>
      <c r="D17" s="20" t="s">
        <v>27</v>
      </c>
      <c r="E17" s="20" t="s">
        <v>28</v>
      </c>
      <c r="F17" s="20" t="s">
        <v>29</v>
      </c>
      <c r="G17" s="20" t="s">
        <v>30</v>
      </c>
      <c r="H17" s="21">
        <v>16.64</v>
      </c>
      <c r="I17" s="19" t="s">
        <v>5</v>
      </c>
      <c r="J17" s="22">
        <v>875</v>
      </c>
      <c r="K17" s="18">
        <v>116480</v>
      </c>
      <c r="L17" s="18">
        <f>+ROUND(H17*J17*8,0)</f>
        <v>116480</v>
      </c>
      <c r="M17" s="18">
        <v>11648</v>
      </c>
      <c r="N17" s="18">
        <f t="shared" si="0"/>
        <v>128128</v>
      </c>
    </row>
    <row r="18" spans="2:14" ht="33" customHeight="1" x14ac:dyDescent="0.3">
      <c r="B18" s="18">
        <v>2</v>
      </c>
      <c r="C18" s="19" t="s">
        <v>19</v>
      </c>
      <c r="D18" s="20" t="s">
        <v>27</v>
      </c>
      <c r="E18" s="20" t="s">
        <v>28</v>
      </c>
      <c r="F18" s="20" t="s">
        <v>31</v>
      </c>
      <c r="G18" s="20" t="s">
        <v>32</v>
      </c>
      <c r="H18" s="21">
        <v>3.81</v>
      </c>
      <c r="I18" s="19" t="s">
        <v>5</v>
      </c>
      <c r="J18" s="22">
        <v>875</v>
      </c>
      <c r="K18" s="18">
        <v>26670</v>
      </c>
      <c r="L18" s="18">
        <f>+ROUND(H18*J18*8,0)</f>
        <v>26670</v>
      </c>
      <c r="M18" s="18">
        <v>2667</v>
      </c>
      <c r="N18" s="18">
        <f t="shared" si="0"/>
        <v>29337</v>
      </c>
    </row>
    <row r="19" spans="2:14" ht="33" customHeight="1" x14ac:dyDescent="0.3">
      <c r="B19" s="18">
        <v>3</v>
      </c>
      <c r="C19" s="19" t="s">
        <v>19</v>
      </c>
      <c r="D19" s="20" t="s">
        <v>27</v>
      </c>
      <c r="E19" s="20" t="s">
        <v>28</v>
      </c>
      <c r="F19" s="20" t="s">
        <v>33</v>
      </c>
      <c r="G19" s="20" t="s">
        <v>34</v>
      </c>
      <c r="H19" s="21">
        <v>8.1199999999999992</v>
      </c>
      <c r="I19" s="19" t="s">
        <v>5</v>
      </c>
      <c r="J19" s="22">
        <v>875</v>
      </c>
      <c r="K19" s="18">
        <v>56840</v>
      </c>
      <c r="L19" s="18">
        <f>+ROUND(H19*J19*8,0)</f>
        <v>56840</v>
      </c>
      <c r="M19" s="18">
        <v>5684</v>
      </c>
      <c r="N19" s="18">
        <f t="shared" si="0"/>
        <v>62524</v>
      </c>
    </row>
    <row r="20" spans="2:14" ht="33" customHeight="1" x14ac:dyDescent="0.3">
      <c r="B20" s="18">
        <v>4</v>
      </c>
      <c r="C20" s="19" t="s">
        <v>19</v>
      </c>
      <c r="D20" s="20" t="s">
        <v>27</v>
      </c>
      <c r="E20" s="20" t="s">
        <v>28</v>
      </c>
      <c r="F20" s="20" t="s">
        <v>35</v>
      </c>
      <c r="G20" s="20" t="s">
        <v>36</v>
      </c>
      <c r="H20" s="21">
        <v>8.51</v>
      </c>
      <c r="I20" s="19" t="s">
        <v>5</v>
      </c>
      <c r="J20" s="22">
        <v>875</v>
      </c>
      <c r="K20" s="18">
        <v>59570</v>
      </c>
      <c r="L20" s="18">
        <f>+ROUND(H20*J20*8,0)</f>
        <v>59570</v>
      </c>
      <c r="M20" s="18">
        <v>5957</v>
      </c>
      <c r="N20" s="18">
        <f t="shared" si="0"/>
        <v>65527</v>
      </c>
    </row>
    <row r="21" spans="2:14" ht="33" customHeight="1" x14ac:dyDescent="0.3">
      <c r="B21" s="13"/>
      <c r="C21" s="77" t="s">
        <v>101</v>
      </c>
      <c r="D21" s="78"/>
      <c r="E21" s="78"/>
      <c r="F21" s="78"/>
      <c r="G21" s="79"/>
      <c r="H21" s="14">
        <v>37.08</v>
      </c>
      <c r="I21" s="15"/>
      <c r="J21" s="16"/>
      <c r="K21" s="17">
        <v>259560</v>
      </c>
      <c r="L21" s="17">
        <f>SUM(L17:L20)</f>
        <v>259560</v>
      </c>
      <c r="M21" s="17">
        <f>SUM(M17:M20)</f>
        <v>25956</v>
      </c>
      <c r="N21" s="17">
        <f>SUM(N17:N20)</f>
        <v>285516</v>
      </c>
    </row>
    <row r="22" spans="2:14" ht="33" customHeight="1" x14ac:dyDescent="0.3">
      <c r="B22" s="18">
        <v>1</v>
      </c>
      <c r="C22" s="19" t="s">
        <v>19</v>
      </c>
      <c r="D22" s="20" t="s">
        <v>37</v>
      </c>
      <c r="E22" s="20" t="s">
        <v>37</v>
      </c>
      <c r="F22" s="20" t="s">
        <v>38</v>
      </c>
      <c r="G22" s="20" t="s">
        <v>39</v>
      </c>
      <c r="H22" s="21">
        <v>18.07178</v>
      </c>
      <c r="I22" s="19" t="s">
        <v>5</v>
      </c>
      <c r="J22" s="22">
        <v>900</v>
      </c>
      <c r="K22" s="18">
        <v>130117</v>
      </c>
      <c r="L22" s="18">
        <f>+ROUND(H22*J22*8,0)</f>
        <v>130117</v>
      </c>
      <c r="M22" s="18">
        <v>13012</v>
      </c>
      <c r="N22" s="18">
        <f t="shared" si="0"/>
        <v>143129</v>
      </c>
    </row>
    <row r="23" spans="2:14" ht="33" customHeight="1" x14ac:dyDescent="0.3">
      <c r="B23" s="18">
        <v>2</v>
      </c>
      <c r="C23" s="19" t="s">
        <v>19</v>
      </c>
      <c r="D23" s="20" t="s">
        <v>37</v>
      </c>
      <c r="E23" s="20" t="s">
        <v>37</v>
      </c>
      <c r="F23" s="20" t="s">
        <v>40</v>
      </c>
      <c r="G23" s="20" t="s">
        <v>41</v>
      </c>
      <c r="H23" s="21">
        <v>6.2760300000000004</v>
      </c>
      <c r="I23" s="19" t="s">
        <v>5</v>
      </c>
      <c r="J23" s="22">
        <v>900</v>
      </c>
      <c r="K23" s="18">
        <v>45187</v>
      </c>
      <c r="L23" s="18">
        <f>+ROUND(H23*J23*8,0)</f>
        <v>45187</v>
      </c>
      <c r="M23" s="18">
        <v>4519</v>
      </c>
      <c r="N23" s="18">
        <f t="shared" si="0"/>
        <v>49706</v>
      </c>
    </row>
    <row r="24" spans="2:14" ht="33" customHeight="1" x14ac:dyDescent="0.3">
      <c r="B24" s="18">
        <v>3</v>
      </c>
      <c r="C24" s="19" t="s">
        <v>19</v>
      </c>
      <c r="D24" s="20" t="s">
        <v>37</v>
      </c>
      <c r="E24" s="20" t="s">
        <v>42</v>
      </c>
      <c r="F24" s="20" t="s">
        <v>43</v>
      </c>
      <c r="G24" s="20" t="s">
        <v>44</v>
      </c>
      <c r="H24" s="21">
        <v>7.3324199999999999</v>
      </c>
      <c r="I24" s="19" t="s">
        <v>5</v>
      </c>
      <c r="J24" s="22">
        <v>900</v>
      </c>
      <c r="K24" s="18">
        <v>52793</v>
      </c>
      <c r="L24" s="18">
        <f>+ROUND(H24*J24*8,0)</f>
        <v>52793</v>
      </c>
      <c r="M24" s="18">
        <v>5279</v>
      </c>
      <c r="N24" s="18">
        <f t="shared" si="0"/>
        <v>58072</v>
      </c>
    </row>
    <row r="25" spans="2:14" ht="33" customHeight="1" x14ac:dyDescent="0.3">
      <c r="B25" s="18">
        <v>4</v>
      </c>
      <c r="C25" s="19" t="s">
        <v>19</v>
      </c>
      <c r="D25" s="20" t="s">
        <v>37</v>
      </c>
      <c r="E25" s="20" t="s">
        <v>37</v>
      </c>
      <c r="F25" s="20" t="s">
        <v>45</v>
      </c>
      <c r="G25" s="20" t="s">
        <v>46</v>
      </c>
      <c r="H25" s="21">
        <v>3.9341499999999998</v>
      </c>
      <c r="I25" s="19" t="s">
        <v>5</v>
      </c>
      <c r="J25" s="22">
        <v>900</v>
      </c>
      <c r="K25" s="18">
        <v>28326</v>
      </c>
      <c r="L25" s="18">
        <f>+ROUND(H25*J25*8,0)</f>
        <v>28326</v>
      </c>
      <c r="M25" s="18">
        <v>2833</v>
      </c>
      <c r="N25" s="18">
        <f t="shared" si="0"/>
        <v>31159</v>
      </c>
    </row>
    <row r="26" spans="2:14" ht="33" customHeight="1" x14ac:dyDescent="0.3">
      <c r="B26" s="18">
        <v>5</v>
      </c>
      <c r="C26" s="19" t="s">
        <v>19</v>
      </c>
      <c r="D26" s="20" t="s">
        <v>37</v>
      </c>
      <c r="E26" s="20" t="s">
        <v>37</v>
      </c>
      <c r="F26" s="20" t="s">
        <v>47</v>
      </c>
      <c r="G26" s="20" t="s">
        <v>48</v>
      </c>
      <c r="H26" s="21">
        <v>13.43289</v>
      </c>
      <c r="I26" s="19" t="s">
        <v>5</v>
      </c>
      <c r="J26" s="22">
        <v>900</v>
      </c>
      <c r="K26" s="18">
        <v>96717</v>
      </c>
      <c r="L26" s="18">
        <f>+ROUND(H26*J26*8,0)</f>
        <v>96717</v>
      </c>
      <c r="M26" s="18">
        <v>9672</v>
      </c>
      <c r="N26" s="18">
        <f t="shared" si="0"/>
        <v>106389</v>
      </c>
    </row>
    <row r="27" spans="2:14" ht="33" customHeight="1" x14ac:dyDescent="0.3">
      <c r="B27" s="13"/>
      <c r="C27" s="77" t="s">
        <v>102</v>
      </c>
      <c r="D27" s="78"/>
      <c r="E27" s="78"/>
      <c r="F27" s="78"/>
      <c r="G27" s="79"/>
      <c r="H27" s="14">
        <v>49.047270000000005</v>
      </c>
      <c r="I27" s="15"/>
      <c r="J27" s="16"/>
      <c r="K27" s="17">
        <v>353140</v>
      </c>
      <c r="L27" s="17">
        <f>SUM(L22:L26)</f>
        <v>353140</v>
      </c>
      <c r="M27" s="17">
        <f>SUM(M22:M26)</f>
        <v>35315</v>
      </c>
      <c r="N27" s="17">
        <f>SUM(N22:N26)</f>
        <v>388455</v>
      </c>
    </row>
    <row r="28" spans="2:14" ht="33" customHeight="1" x14ac:dyDescent="0.3">
      <c r="B28" s="18">
        <v>1</v>
      </c>
      <c r="C28" s="19" t="s">
        <v>19</v>
      </c>
      <c r="D28" s="20" t="s">
        <v>49</v>
      </c>
      <c r="E28" s="20" t="s">
        <v>50</v>
      </c>
      <c r="F28" s="20" t="s">
        <v>51</v>
      </c>
      <c r="G28" s="20" t="s">
        <v>52</v>
      </c>
      <c r="H28" s="21">
        <v>7.76</v>
      </c>
      <c r="I28" s="19" t="s">
        <v>5</v>
      </c>
      <c r="J28" s="22">
        <v>766.25</v>
      </c>
      <c r="K28" s="18">
        <v>47569</v>
      </c>
      <c r="L28" s="18">
        <f t="shared" ref="L28:L35" si="1">+ROUND(H28*J28*8,0)</f>
        <v>47569</v>
      </c>
      <c r="M28" s="18">
        <v>4757</v>
      </c>
      <c r="N28" s="18">
        <f t="shared" si="0"/>
        <v>52326</v>
      </c>
    </row>
    <row r="29" spans="2:14" ht="33" customHeight="1" x14ac:dyDescent="0.3">
      <c r="B29" s="18">
        <v>2</v>
      </c>
      <c r="C29" s="19" t="s">
        <v>19</v>
      </c>
      <c r="D29" s="20" t="s">
        <v>49</v>
      </c>
      <c r="E29" s="20" t="s">
        <v>49</v>
      </c>
      <c r="F29" s="20" t="s">
        <v>53</v>
      </c>
      <c r="G29" s="20" t="s">
        <v>54</v>
      </c>
      <c r="H29" s="21">
        <v>1.5760000000000001</v>
      </c>
      <c r="I29" s="19" t="s">
        <v>5</v>
      </c>
      <c r="J29" s="22">
        <v>750</v>
      </c>
      <c r="K29" s="18">
        <v>9456</v>
      </c>
      <c r="L29" s="18">
        <f t="shared" si="1"/>
        <v>9456</v>
      </c>
      <c r="M29" s="18">
        <v>946</v>
      </c>
      <c r="N29" s="18">
        <f t="shared" si="0"/>
        <v>10402</v>
      </c>
    </row>
    <row r="30" spans="2:14" ht="33" customHeight="1" x14ac:dyDescent="0.3">
      <c r="B30" s="18">
        <v>3</v>
      </c>
      <c r="C30" s="19" t="s">
        <v>19</v>
      </c>
      <c r="D30" s="20" t="s">
        <v>49</v>
      </c>
      <c r="E30" s="20" t="s">
        <v>49</v>
      </c>
      <c r="F30" s="20" t="s">
        <v>55</v>
      </c>
      <c r="G30" s="20" t="s">
        <v>56</v>
      </c>
      <c r="H30" s="21">
        <v>2.5</v>
      </c>
      <c r="I30" s="19" t="s">
        <v>5</v>
      </c>
      <c r="J30" s="22">
        <v>750</v>
      </c>
      <c r="K30" s="18">
        <v>15000</v>
      </c>
      <c r="L30" s="18">
        <f t="shared" si="1"/>
        <v>15000</v>
      </c>
      <c r="M30" s="18">
        <v>1500</v>
      </c>
      <c r="N30" s="18">
        <f t="shared" si="0"/>
        <v>16500</v>
      </c>
    </row>
    <row r="31" spans="2:14" ht="33" customHeight="1" x14ac:dyDescent="0.3">
      <c r="B31" s="18">
        <v>4</v>
      </c>
      <c r="C31" s="19" t="s">
        <v>19</v>
      </c>
      <c r="D31" s="20" t="s">
        <v>49</v>
      </c>
      <c r="E31" s="20" t="s">
        <v>49</v>
      </c>
      <c r="F31" s="20" t="s">
        <v>57</v>
      </c>
      <c r="G31" s="20" t="s">
        <v>58</v>
      </c>
      <c r="H31" s="21">
        <v>1.127</v>
      </c>
      <c r="I31" s="19" t="s">
        <v>5</v>
      </c>
      <c r="J31" s="22">
        <v>750</v>
      </c>
      <c r="K31" s="18">
        <v>6762</v>
      </c>
      <c r="L31" s="18">
        <f t="shared" si="1"/>
        <v>6762</v>
      </c>
      <c r="M31" s="18">
        <v>676</v>
      </c>
      <c r="N31" s="18">
        <f t="shared" si="0"/>
        <v>7438</v>
      </c>
    </row>
    <row r="32" spans="2:14" ht="33" customHeight="1" x14ac:dyDescent="0.3">
      <c r="B32" s="18">
        <v>5</v>
      </c>
      <c r="C32" s="19" t="s">
        <v>19</v>
      </c>
      <c r="D32" s="20" t="s">
        <v>49</v>
      </c>
      <c r="E32" s="20" t="s">
        <v>49</v>
      </c>
      <c r="F32" s="20" t="s">
        <v>59</v>
      </c>
      <c r="G32" s="20" t="s">
        <v>60</v>
      </c>
      <c r="H32" s="21">
        <v>15.6</v>
      </c>
      <c r="I32" s="19" t="s">
        <v>5</v>
      </c>
      <c r="J32" s="22">
        <v>763.96</v>
      </c>
      <c r="K32" s="18">
        <v>95342</v>
      </c>
      <c r="L32" s="18">
        <f t="shared" si="1"/>
        <v>95342</v>
      </c>
      <c r="M32" s="18">
        <v>9534</v>
      </c>
      <c r="N32" s="18">
        <f t="shared" si="0"/>
        <v>104876</v>
      </c>
    </row>
    <row r="33" spans="2:14" ht="33" customHeight="1" x14ac:dyDescent="0.3">
      <c r="B33" s="18">
        <v>6</v>
      </c>
      <c r="C33" s="19" t="s">
        <v>19</v>
      </c>
      <c r="D33" s="20" t="s">
        <v>49</v>
      </c>
      <c r="E33" s="20" t="s">
        <v>61</v>
      </c>
      <c r="F33" s="20" t="s">
        <v>62</v>
      </c>
      <c r="G33" s="20" t="s">
        <v>63</v>
      </c>
      <c r="H33" s="21">
        <v>16.36</v>
      </c>
      <c r="I33" s="19" t="s">
        <v>5</v>
      </c>
      <c r="J33" s="22">
        <v>771.48</v>
      </c>
      <c r="K33" s="18">
        <v>100971</v>
      </c>
      <c r="L33" s="18">
        <f t="shared" si="1"/>
        <v>100971</v>
      </c>
      <c r="M33" s="18">
        <v>10097</v>
      </c>
      <c r="N33" s="18">
        <f t="shared" si="0"/>
        <v>111068</v>
      </c>
    </row>
    <row r="34" spans="2:14" ht="33" customHeight="1" x14ac:dyDescent="0.3">
      <c r="B34" s="18">
        <v>7</v>
      </c>
      <c r="C34" s="19" t="s">
        <v>19</v>
      </c>
      <c r="D34" s="20" t="s">
        <v>49</v>
      </c>
      <c r="E34" s="20" t="s">
        <v>64</v>
      </c>
      <c r="F34" s="20" t="s">
        <v>65</v>
      </c>
      <c r="G34" s="20" t="s">
        <v>66</v>
      </c>
      <c r="H34" s="21">
        <v>9.9</v>
      </c>
      <c r="I34" s="19" t="s">
        <v>5</v>
      </c>
      <c r="J34" s="22">
        <v>778.81</v>
      </c>
      <c r="K34" s="18">
        <v>61682</v>
      </c>
      <c r="L34" s="18">
        <f t="shared" si="1"/>
        <v>61682</v>
      </c>
      <c r="M34" s="18">
        <v>6168</v>
      </c>
      <c r="N34" s="18">
        <f t="shared" si="0"/>
        <v>67850</v>
      </c>
    </row>
    <row r="35" spans="2:14" ht="33" customHeight="1" x14ac:dyDescent="0.3">
      <c r="B35" s="18">
        <v>8</v>
      </c>
      <c r="C35" s="19" t="s">
        <v>19</v>
      </c>
      <c r="D35" s="20" t="s">
        <v>49</v>
      </c>
      <c r="E35" s="20" t="s">
        <v>67</v>
      </c>
      <c r="F35" s="20" t="s">
        <v>68</v>
      </c>
      <c r="G35" s="20" t="s">
        <v>69</v>
      </c>
      <c r="H35" s="21">
        <v>7</v>
      </c>
      <c r="I35" s="19" t="s">
        <v>5</v>
      </c>
      <c r="J35" s="22">
        <v>778.08</v>
      </c>
      <c r="K35" s="18">
        <v>43572</v>
      </c>
      <c r="L35" s="18">
        <f t="shared" si="1"/>
        <v>43572</v>
      </c>
      <c r="M35" s="18">
        <v>4357</v>
      </c>
      <c r="N35" s="18">
        <f t="shared" si="0"/>
        <v>47929</v>
      </c>
    </row>
    <row r="36" spans="2:14" ht="33" customHeight="1" x14ac:dyDescent="0.3">
      <c r="B36" s="13"/>
      <c r="C36" s="77" t="s">
        <v>103</v>
      </c>
      <c r="D36" s="78"/>
      <c r="E36" s="78"/>
      <c r="F36" s="78"/>
      <c r="G36" s="79"/>
      <c r="H36" s="14">
        <v>61.823</v>
      </c>
      <c r="I36" s="15"/>
      <c r="J36" s="16"/>
      <c r="K36" s="17">
        <v>380354</v>
      </c>
      <c r="L36" s="17">
        <f>SUM(L28:L35)</f>
        <v>380354</v>
      </c>
      <c r="M36" s="17">
        <f>SUM(M28:M35)</f>
        <v>38035</v>
      </c>
      <c r="N36" s="17">
        <f>SUM(N28:N35)</f>
        <v>418389</v>
      </c>
    </row>
    <row r="37" spans="2:14" ht="33" customHeight="1" x14ac:dyDescent="0.3">
      <c r="B37" s="18">
        <v>1</v>
      </c>
      <c r="C37" s="19" t="s">
        <v>19</v>
      </c>
      <c r="D37" s="20" t="s">
        <v>70</v>
      </c>
      <c r="E37" s="20" t="s">
        <v>71</v>
      </c>
      <c r="F37" s="20" t="s">
        <v>72</v>
      </c>
      <c r="G37" s="20" t="s">
        <v>73</v>
      </c>
      <c r="H37" s="21">
        <v>6.71</v>
      </c>
      <c r="I37" s="19" t="s">
        <v>5</v>
      </c>
      <c r="J37" s="22">
        <v>735</v>
      </c>
      <c r="K37" s="18">
        <v>39455</v>
      </c>
      <c r="L37" s="18">
        <f>+ROUND(H37*J37*8,0)</f>
        <v>39455</v>
      </c>
      <c r="M37" s="18">
        <v>3945</v>
      </c>
      <c r="N37" s="18">
        <f t="shared" si="0"/>
        <v>43400</v>
      </c>
    </row>
    <row r="38" spans="2:14" ht="33" customHeight="1" x14ac:dyDescent="0.3">
      <c r="B38" s="18">
        <v>2</v>
      </c>
      <c r="C38" s="19" t="s">
        <v>19</v>
      </c>
      <c r="D38" s="20" t="s">
        <v>70</v>
      </c>
      <c r="E38" s="20" t="s">
        <v>71</v>
      </c>
      <c r="F38" s="20" t="s">
        <v>74</v>
      </c>
      <c r="G38" s="20" t="s">
        <v>75</v>
      </c>
      <c r="H38" s="21">
        <v>5.9770000000000003</v>
      </c>
      <c r="I38" s="19" t="s">
        <v>5</v>
      </c>
      <c r="J38" s="22">
        <v>735</v>
      </c>
      <c r="K38" s="18">
        <v>35145</v>
      </c>
      <c r="L38" s="18">
        <f>+ROUND(H38*J38*8,0)</f>
        <v>35145</v>
      </c>
      <c r="M38" s="18">
        <v>3514</v>
      </c>
      <c r="N38" s="18">
        <f t="shared" si="0"/>
        <v>38659</v>
      </c>
    </row>
    <row r="39" spans="2:14" ht="33" customHeight="1" x14ac:dyDescent="0.3">
      <c r="B39" s="18">
        <v>3</v>
      </c>
      <c r="C39" s="19" t="s">
        <v>19</v>
      </c>
      <c r="D39" s="20" t="s">
        <v>70</v>
      </c>
      <c r="E39" s="20" t="s">
        <v>76</v>
      </c>
      <c r="F39" s="20" t="s">
        <v>77</v>
      </c>
      <c r="G39" s="20" t="s">
        <v>78</v>
      </c>
      <c r="H39" s="21">
        <v>14.557</v>
      </c>
      <c r="I39" s="19" t="s">
        <v>5</v>
      </c>
      <c r="J39" s="22">
        <v>735</v>
      </c>
      <c r="K39" s="18">
        <v>85595</v>
      </c>
      <c r="L39" s="18">
        <f>+ROUND(H39*J39*8,0)</f>
        <v>85595</v>
      </c>
      <c r="M39" s="18">
        <v>8560</v>
      </c>
      <c r="N39" s="18">
        <f t="shared" si="0"/>
        <v>94155</v>
      </c>
    </row>
    <row r="40" spans="2:14" ht="33" customHeight="1" x14ac:dyDescent="0.3">
      <c r="B40" s="13"/>
      <c r="C40" s="77" t="s">
        <v>104</v>
      </c>
      <c r="D40" s="78"/>
      <c r="E40" s="78"/>
      <c r="F40" s="78"/>
      <c r="G40" s="79"/>
      <c r="H40" s="14">
        <v>27.244</v>
      </c>
      <c r="I40" s="15"/>
      <c r="J40" s="16"/>
      <c r="K40" s="17">
        <v>160195</v>
      </c>
      <c r="L40" s="17">
        <f>SUM(L37:L39)</f>
        <v>160195</v>
      </c>
      <c r="M40" s="17">
        <f>SUM(M37:M39)</f>
        <v>16019</v>
      </c>
      <c r="N40" s="17">
        <f>SUM(N37:N39)</f>
        <v>176214</v>
      </c>
    </row>
    <row r="41" spans="2:14" ht="33" customHeight="1" x14ac:dyDescent="0.3">
      <c r="B41" s="18">
        <v>1</v>
      </c>
      <c r="C41" s="19" t="s">
        <v>19</v>
      </c>
      <c r="D41" s="20" t="s">
        <v>79</v>
      </c>
      <c r="E41" s="20" t="s">
        <v>80</v>
      </c>
      <c r="F41" s="20" t="s">
        <v>81</v>
      </c>
      <c r="G41" s="20" t="s">
        <v>82</v>
      </c>
      <c r="H41" s="21">
        <v>18.399999999999999</v>
      </c>
      <c r="I41" s="19" t="s">
        <v>5</v>
      </c>
      <c r="J41" s="22">
        <v>900</v>
      </c>
      <c r="K41" s="18">
        <v>132480</v>
      </c>
      <c r="L41" s="18">
        <f t="shared" ref="L41:L47" si="2">+ROUND(H41*J41*8,0)</f>
        <v>132480</v>
      </c>
      <c r="M41" s="18">
        <v>13248</v>
      </c>
      <c r="N41" s="18">
        <f t="shared" si="0"/>
        <v>145728</v>
      </c>
    </row>
    <row r="42" spans="2:14" ht="33" customHeight="1" x14ac:dyDescent="0.3">
      <c r="B42" s="18">
        <v>2</v>
      </c>
      <c r="C42" s="19" t="s">
        <v>19</v>
      </c>
      <c r="D42" s="20" t="s">
        <v>79</v>
      </c>
      <c r="E42" s="20" t="s">
        <v>80</v>
      </c>
      <c r="F42" s="20" t="s">
        <v>83</v>
      </c>
      <c r="G42" s="20" t="s">
        <v>84</v>
      </c>
      <c r="H42" s="21">
        <v>2.2730000000000001</v>
      </c>
      <c r="I42" s="19" t="s">
        <v>5</v>
      </c>
      <c r="J42" s="22">
        <v>900</v>
      </c>
      <c r="K42" s="18">
        <v>16366</v>
      </c>
      <c r="L42" s="18">
        <f t="shared" si="2"/>
        <v>16366</v>
      </c>
      <c r="M42" s="18">
        <v>1637</v>
      </c>
      <c r="N42" s="18">
        <f t="shared" si="0"/>
        <v>18003</v>
      </c>
    </row>
    <row r="43" spans="2:14" ht="33" customHeight="1" x14ac:dyDescent="0.3">
      <c r="B43" s="18">
        <v>3</v>
      </c>
      <c r="C43" s="19" t="s">
        <v>19</v>
      </c>
      <c r="D43" s="20" t="s">
        <v>79</v>
      </c>
      <c r="E43" s="20" t="s">
        <v>79</v>
      </c>
      <c r="F43" s="20" t="s">
        <v>85</v>
      </c>
      <c r="G43" s="20" t="s">
        <v>86</v>
      </c>
      <c r="H43" s="21">
        <v>8.4</v>
      </c>
      <c r="I43" s="19" t="s">
        <v>5</v>
      </c>
      <c r="J43" s="22">
        <v>900</v>
      </c>
      <c r="K43" s="18">
        <v>60480</v>
      </c>
      <c r="L43" s="18">
        <f t="shared" si="2"/>
        <v>60480</v>
      </c>
      <c r="M43" s="18">
        <v>6048</v>
      </c>
      <c r="N43" s="18">
        <f t="shared" si="0"/>
        <v>66528</v>
      </c>
    </row>
    <row r="44" spans="2:14" ht="33" customHeight="1" x14ac:dyDescent="0.3">
      <c r="B44" s="18">
        <v>4</v>
      </c>
      <c r="C44" s="19" t="s">
        <v>19</v>
      </c>
      <c r="D44" s="20" t="s">
        <v>79</v>
      </c>
      <c r="E44" s="20" t="s">
        <v>79</v>
      </c>
      <c r="F44" s="20" t="s">
        <v>87</v>
      </c>
      <c r="G44" s="20" t="s">
        <v>88</v>
      </c>
      <c r="H44" s="21">
        <v>3.5</v>
      </c>
      <c r="I44" s="19" t="s">
        <v>5</v>
      </c>
      <c r="J44" s="22">
        <v>900</v>
      </c>
      <c r="K44" s="18">
        <v>25200</v>
      </c>
      <c r="L44" s="18">
        <f t="shared" si="2"/>
        <v>25200</v>
      </c>
      <c r="M44" s="18">
        <v>2520</v>
      </c>
      <c r="N44" s="18">
        <f t="shared" si="0"/>
        <v>27720</v>
      </c>
    </row>
    <row r="45" spans="2:14" ht="33" customHeight="1" x14ac:dyDescent="0.3">
      <c r="B45" s="18">
        <v>5</v>
      </c>
      <c r="C45" s="19" t="s">
        <v>19</v>
      </c>
      <c r="D45" s="20" t="s">
        <v>79</v>
      </c>
      <c r="E45" s="20" t="s">
        <v>79</v>
      </c>
      <c r="F45" s="20" t="s">
        <v>89</v>
      </c>
      <c r="G45" s="20" t="s">
        <v>90</v>
      </c>
      <c r="H45" s="21">
        <v>9.15</v>
      </c>
      <c r="I45" s="19" t="s">
        <v>5</v>
      </c>
      <c r="J45" s="22">
        <v>900</v>
      </c>
      <c r="K45" s="18">
        <v>65880</v>
      </c>
      <c r="L45" s="18">
        <f t="shared" si="2"/>
        <v>65880</v>
      </c>
      <c r="M45" s="18">
        <v>6588</v>
      </c>
      <c r="N45" s="18">
        <f t="shared" si="0"/>
        <v>72468</v>
      </c>
    </row>
    <row r="46" spans="2:14" ht="33" customHeight="1" x14ac:dyDescent="0.3">
      <c r="B46" s="18">
        <v>6</v>
      </c>
      <c r="C46" s="19" t="s">
        <v>19</v>
      </c>
      <c r="D46" s="20" t="s">
        <v>79</v>
      </c>
      <c r="E46" s="20" t="s">
        <v>79</v>
      </c>
      <c r="F46" s="20" t="s">
        <v>91</v>
      </c>
      <c r="G46" s="20" t="s">
        <v>92</v>
      </c>
      <c r="H46" s="21">
        <v>5.5</v>
      </c>
      <c r="I46" s="19" t="s">
        <v>5</v>
      </c>
      <c r="J46" s="22">
        <v>900</v>
      </c>
      <c r="K46" s="18">
        <v>39600</v>
      </c>
      <c r="L46" s="18">
        <f t="shared" si="2"/>
        <v>39600</v>
      </c>
      <c r="M46" s="18">
        <v>3960</v>
      </c>
      <c r="N46" s="18">
        <f t="shared" si="0"/>
        <v>43560</v>
      </c>
    </row>
    <row r="47" spans="2:14" ht="33" customHeight="1" x14ac:dyDescent="0.3">
      <c r="B47" s="18">
        <v>7</v>
      </c>
      <c r="C47" s="19" t="s">
        <v>19</v>
      </c>
      <c r="D47" s="20" t="s">
        <v>79</v>
      </c>
      <c r="E47" s="20" t="s">
        <v>79</v>
      </c>
      <c r="F47" s="20" t="s">
        <v>93</v>
      </c>
      <c r="G47" s="20" t="s">
        <v>94</v>
      </c>
      <c r="H47" s="21">
        <v>4.0999999999999996</v>
      </c>
      <c r="I47" s="19" t="s">
        <v>5</v>
      </c>
      <c r="J47" s="22">
        <v>900</v>
      </c>
      <c r="K47" s="18">
        <v>29520</v>
      </c>
      <c r="L47" s="18">
        <f t="shared" si="2"/>
        <v>29520</v>
      </c>
      <c r="M47" s="18">
        <v>2952</v>
      </c>
      <c r="N47" s="18">
        <f t="shared" si="0"/>
        <v>32472</v>
      </c>
    </row>
    <row r="48" spans="2:14" ht="33" customHeight="1" x14ac:dyDescent="0.3">
      <c r="B48" s="13"/>
      <c r="C48" s="77" t="s">
        <v>105</v>
      </c>
      <c r="D48" s="78"/>
      <c r="E48" s="78"/>
      <c r="F48" s="78"/>
      <c r="G48" s="79"/>
      <c r="H48" s="14">
        <v>51.323</v>
      </c>
      <c r="I48" s="15"/>
      <c r="J48" s="16"/>
      <c r="K48" s="17">
        <v>369526</v>
      </c>
      <c r="L48" s="17">
        <f>SUM(L41:L47)</f>
        <v>369526</v>
      </c>
      <c r="M48" s="17">
        <f>SUM(M41:M47)</f>
        <v>36953</v>
      </c>
      <c r="N48" s="17">
        <f>SUM(N41:N47)</f>
        <v>406479</v>
      </c>
    </row>
    <row r="49" spans="2:14" ht="33" customHeight="1" x14ac:dyDescent="0.3">
      <c r="B49" s="18">
        <v>1</v>
      </c>
      <c r="C49" s="19" t="s">
        <v>19</v>
      </c>
      <c r="D49" s="20" t="s">
        <v>95</v>
      </c>
      <c r="E49" s="20" t="s">
        <v>95</v>
      </c>
      <c r="F49" s="20" t="s">
        <v>96</v>
      </c>
      <c r="G49" s="23" t="s">
        <v>97</v>
      </c>
      <c r="H49" s="21">
        <v>10.48</v>
      </c>
      <c r="I49" s="19" t="s">
        <v>5</v>
      </c>
      <c r="J49" s="22">
        <v>831.94</v>
      </c>
      <c r="K49" s="18">
        <v>69750</v>
      </c>
      <c r="L49" s="18">
        <f>+ROUND(H49*J49*8,0)</f>
        <v>69750</v>
      </c>
      <c r="M49" s="18">
        <v>6975</v>
      </c>
      <c r="N49" s="18">
        <f t="shared" si="0"/>
        <v>76725</v>
      </c>
    </row>
    <row r="50" spans="2:14" ht="33" customHeight="1" x14ac:dyDescent="0.3">
      <c r="B50" s="18">
        <v>2</v>
      </c>
      <c r="C50" s="19" t="s">
        <v>19</v>
      </c>
      <c r="D50" s="20" t="s">
        <v>95</v>
      </c>
      <c r="E50" s="20" t="s">
        <v>95</v>
      </c>
      <c r="F50" s="20" t="s">
        <v>98</v>
      </c>
      <c r="G50" s="23" t="s">
        <v>99</v>
      </c>
      <c r="H50" s="21">
        <v>10.11</v>
      </c>
      <c r="I50" s="19" t="s">
        <v>5</v>
      </c>
      <c r="J50" s="22">
        <v>847.45</v>
      </c>
      <c r="K50" s="18">
        <v>68542</v>
      </c>
      <c r="L50" s="18">
        <f>+ROUND(H50*J50*8,0)</f>
        <v>68542</v>
      </c>
      <c r="M50" s="18">
        <v>6854</v>
      </c>
      <c r="N50" s="18">
        <f t="shared" si="0"/>
        <v>75396</v>
      </c>
    </row>
    <row r="51" spans="2:14" ht="33" customHeight="1" x14ac:dyDescent="0.3">
      <c r="B51" s="13"/>
      <c r="C51" s="77" t="s">
        <v>106</v>
      </c>
      <c r="D51" s="78"/>
      <c r="E51" s="78"/>
      <c r="F51" s="78"/>
      <c r="G51" s="79"/>
      <c r="H51" s="14">
        <v>20.59</v>
      </c>
      <c r="I51" s="15"/>
      <c r="J51" s="16"/>
      <c r="K51" s="17">
        <v>138292</v>
      </c>
      <c r="L51" s="17">
        <f>SUM(L49:L50)</f>
        <v>138292</v>
      </c>
      <c r="M51" s="17">
        <f t="shared" ref="M51:N51" si="3">SUM(M49:M50)</f>
        <v>13829</v>
      </c>
      <c r="N51" s="17">
        <f t="shared" si="3"/>
        <v>152121</v>
      </c>
    </row>
  </sheetData>
  <autoFilter ref="C12:N12" xr:uid="{67CE589D-B140-46C7-B6D4-13C6FDA33960}"/>
  <mergeCells count="23">
    <mergeCell ref="L10:N10"/>
    <mergeCell ref="B3:H3"/>
    <mergeCell ref="B4:N4"/>
    <mergeCell ref="B10:B11"/>
    <mergeCell ref="C10:C11"/>
    <mergeCell ref="D10:D11"/>
    <mergeCell ref="E10:E11"/>
    <mergeCell ref="F10:F11"/>
    <mergeCell ref="G10:G11"/>
    <mergeCell ref="B5:N5"/>
    <mergeCell ref="B6:N6"/>
    <mergeCell ref="B7:N7"/>
    <mergeCell ref="K10:K11"/>
    <mergeCell ref="H10:H11"/>
    <mergeCell ref="I10:I11"/>
    <mergeCell ref="J10:J11"/>
    <mergeCell ref="C48:G48"/>
    <mergeCell ref="C51:G51"/>
    <mergeCell ref="C16:G16"/>
    <mergeCell ref="C21:G21"/>
    <mergeCell ref="C27:G27"/>
    <mergeCell ref="C36:G36"/>
    <mergeCell ref="C40:G40"/>
  </mergeCells>
  <phoneticPr fontId="12" type="noConversion"/>
  <conditionalFormatting sqref="G8:G9">
    <cfRule type="duplicateValues" dxfId="1" priority="19"/>
  </conditionalFormatting>
  <conditionalFormatting sqref="G22:G26 G28:G35 G37:G39 G41:G47 G49:G50 G17:G20 G13:G15">
    <cfRule type="duplicateValues" dxfId="0" priority="22"/>
  </conditionalFormatting>
  <pageMargins left="0.23622047244094491" right="0.23622047244094491" top="0.74803149606299213" bottom="0.74803149606299213" header="0.31496062992125984" footer="0.31496062992125984"/>
  <pageSetup paperSize="8"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10</vt:i4>
      </vt:variant>
    </vt:vector>
  </HeadingPairs>
  <TitlesOfParts>
    <vt:vector size="15" baseType="lpstr">
      <vt:lpstr>MR PIA 2025 -ANEXO 1A</vt:lpstr>
      <vt:lpstr>MP PIA 2025 -ANEXO 1B</vt:lpstr>
      <vt:lpstr>MR PIA 2025 ANEXO 1A</vt:lpstr>
      <vt:lpstr>MP PIA 2025 ANEXO 1B</vt:lpstr>
      <vt:lpstr>Anexo I MR PIA 2024</vt:lpstr>
      <vt:lpstr>'Anexo I MR PIA 2024'!Área_de_impresión</vt:lpstr>
      <vt:lpstr>'MP PIA 2025 ANEXO 1B'!Área_de_impresión</vt:lpstr>
      <vt:lpstr>'MP PIA 2025 -ANEXO 1B'!Área_de_impresión</vt:lpstr>
      <vt:lpstr>'MR PIA 2025 ANEXO 1A'!Área_de_impresión</vt:lpstr>
      <vt:lpstr>'MR PIA 2025 -ANEXO 1A'!Área_de_impresión</vt:lpstr>
      <vt:lpstr>'Anexo I MR PIA 2024'!Títulos_a_imprimir</vt:lpstr>
      <vt:lpstr>'MP PIA 2025 ANEXO 1B'!Títulos_a_imprimir</vt:lpstr>
      <vt:lpstr>'MP PIA 2025 -ANEXO 1B'!Títulos_a_imprimir</vt:lpstr>
      <vt:lpstr>'MR PIA 2025 ANEXO 1A'!Títulos_a_imprimir</vt:lpstr>
      <vt:lpstr>'MR PIA 2025 -ANEXO 1A'!Títulos_a_imprimir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Tercero Monitoreo 61</dc:creator>
  <cp:lastModifiedBy>YONATHAN JESUS MONTEZA GARRIDO</cp:lastModifiedBy>
  <cp:lastPrinted>2025-12-18T22:24:00Z</cp:lastPrinted>
  <dcterms:created xsi:type="dcterms:W3CDTF">2022-04-08T21:52:15Z</dcterms:created>
  <dcterms:modified xsi:type="dcterms:W3CDTF">2026-10-28T14:26:23Z</dcterms:modified>
</cp:coreProperties>
</file>